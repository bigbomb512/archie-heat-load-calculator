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roximate heat gains" sheetId="1" r:id="rId5"/>
    <sheet state="visible" name="Start here" sheetId="2" r:id="rId6"/>
    <sheet state="visible" name="Refrigeration" sheetId="3" r:id="rId7"/>
    <sheet state="visible" name="Room worksheet" sheetId="4" r:id="rId8"/>
  </sheets>
  <definedNames>
    <definedName hidden="1" localSheetId="0" name="_xlnm._FilterDatabase">'Approximate heat gains'!$A$5:$AH$447</definedName>
  </definedNames>
  <calcPr/>
</workbook>
</file>

<file path=xl/sharedStrings.xml><?xml version="1.0" encoding="utf-8"?>
<sst xmlns="http://schemas.openxmlformats.org/spreadsheetml/2006/main" count="10627" uniqueCount="3261">
  <si>
    <t>EQUIPMENT HEAT • CONDITIONAL CALCULATION INPUTS + ORIGINAL EVIDENCE</t>
  </si>
  <si>
    <t>442 entries now have a numeric example/reference in AA/AB. 298 have conditional D/E inputs; 144 examples are not validated calculation inputs. AC/AD identify electrical ratings, partial references and hypothetical assumptions. Read F before use.</t>
  </si>
  <si>
    <t>ONE room / ONE design hour: match model/state and F conditions; quantity × D or E × operating fraction ÷ 1000. Already-hourly averages use fraction 1. Equipment gains only, not HVAC sizing or engineering approval.</t>
  </si>
  <si>
    <t>Category</t>
  </si>
  <si>
    <t>Object</t>
  </si>
  <si>
    <t>Calculation-use category</t>
  </si>
  <si>
    <t>Conditional sensible heat (W/unit)</t>
  </si>
  <si>
    <t>Conditional latent heat (W/unit)</t>
  </si>
  <si>
    <t>Conditions / missing information — read before using</t>
  </si>
  <si>
    <t>Original reference W — NOT automatic input</t>
  </si>
  <si>
    <t>Original reference kW — NOT automatic input</t>
  </si>
  <si>
    <t>When this estimate applies</t>
  </si>
  <si>
    <t>Why this number / qualification</t>
  </si>
  <si>
    <t>Original reference</t>
  </si>
  <si>
    <t>Source</t>
  </si>
  <si>
    <t>Evidence / readiness</t>
  </si>
  <si>
    <t>PoE / power boundary</t>
  </si>
  <si>
    <t>Electrical input example (W) — NOT room heat</t>
  </si>
  <si>
    <t>Sensible heat to room (W)</t>
  </si>
  <si>
    <t>Latent heat to room (W)</t>
  </si>
  <si>
    <t>Building / use type</t>
  </si>
  <si>
    <t>Manufacturer / model</t>
  </si>
  <si>
    <t>Operating state / basis</t>
  </si>
  <si>
    <t>Confidence / evidence</t>
  </si>
  <si>
    <t>Include as internal gain?</t>
  </si>
  <si>
    <t>Heat rejection location</t>
  </si>
  <si>
    <t>Equipment family</t>
  </si>
  <si>
    <t>State / subtype options to assess</t>
  </si>
  <si>
    <t>Already counted elsewhere?</t>
  </si>
  <si>
    <t>Numeric example / reference (W)</t>
  </si>
  <si>
    <t>Example / reference (kW)</t>
  </si>
  <si>
    <t>Number type — read before use</t>
  </si>
  <si>
    <t>Assumptions and special requirements</t>
  </si>
  <si>
    <t>Computers</t>
  </si>
  <si>
    <t>Small efficient PC</t>
  </si>
  <si>
    <t>CONDITIONAL — rated/upper</t>
  </si>
  <si>
    <t>Mac mini 2024 M4, 16GB/256GB; Compute-intensive maximum. Specific mini-PC example, not an average PC. Includes supply losses; peripherals separate. D is sensible heat estimate; E=0 assumes no moisture released. Confirm model, duty and room allocation before use. Original reference G/H is retained, not the new calculation input.</t>
  </si>
  <si>
    <t>Compute-intensive maximum</t>
  </si>
  <si>
    <t>Specific mini-PC example, not an average PC. Includes supply losses; peripherals separate. Previous reference context: 50 W selected as an active-use estimate. Source measures a particular mini PC maximum, not a fleet average.</t>
  </si>
  <si>
    <t>Apple power/thermal table</t>
  </si>
  <si>
    <t>https://support.apple.com/en-au/103253</t>
  </si>
  <si>
    <t>Sourced conditional example — not engineering approval</t>
  </si>
  <si>
    <t>Not established</t>
  </si>
  <si>
    <t>Multiple building types — confirm project</t>
  </si>
  <si>
    <t>Mac mini 2024 M4, 16GB/256GB</t>
  </si>
  <si>
    <t>Source checked18 Oct2026; conditional room-heat interpretation; installed equipment unconfirmed</t>
  </si>
  <si>
    <t>Review required — not automatic</t>
  </si>
  <si>
    <t>Needs project confirmation</t>
  </si>
  <si>
    <t>Electronic / specialist equipment</t>
  </si>
  <si>
    <t>Off/standby/active; treatment or process cycle</t>
  </si>
  <si>
    <t>Not checked — compare allowances/components</t>
  </si>
  <si>
    <t>CONDITIONAL — total of sensible + latent D/E</t>
  </si>
  <si>
    <t>Medium office desktop</t>
  </si>
  <si>
    <t>CONDITIONAL — test example</t>
  </si>
  <si>
    <t>ASHRAE 2017 desktop sample; Average of measured 15-minute peaks. Historical sample average, range26–151W; use only if accepted as comparable to installed office fleet. Not a gaming-PC allowance or guaranteed maximum. D is sensible heat estimate; E=0 assumes no moisture released. Confirm model, duty and room allocation before use. Original reference G/H is retained, not the new calculation input.</t>
  </si>
  <si>
    <t>Average of measured 15-minute peaks</t>
  </si>
  <si>
    <t>Historical sample average, range26–151W; use only if accepted as comparable to installed office fleet. Not a gaming-PC allowance or guaranteed maximum. Previous reference context: 100 W selected as a preliminary office-use assumption within the published sample range; not a measured average.</t>
  </si>
  <si>
    <t>2017 Fundamentals ch18 Table8A; Bach and Sarfraz</t>
  </si>
  <si>
    <t>https://handbook.ashrae.org/Handbooks/F17/SI/f17_ch18/f17_ch18_si.aspx</t>
  </si>
  <si>
    <t>ASHRAE 2017 desktop sample</t>
  </si>
  <si>
    <t>Medium workstation — heavy work</t>
  </si>
  <si>
    <t>Apple Mac Studio M4 Max (2025), 14-core CPU/32-core GPU, 36 GB/512 GB: 145 W manufacturer maximum test, not typical office use. Entire computer in room; peripherals separate. Zero latent assumes no moisture. Match configuration and design-hour workload.</t>
  </si>
  <si>
    <t>Heavy workload</t>
  </si>
  <si>
    <t>Rounded from 145 W tested Studio maximum</t>
  </si>
  <si>
    <t>E008–E009</t>
  </si>
  <si>
    <t>https://support.apple.com/en-ie/102027</t>
  </si>
  <si>
    <t>Reference example — review conditions</t>
  </si>
  <si>
    <t/>
  </si>
  <si>
    <t>Needs classification</t>
  </si>
  <si>
    <t>Not structured — see source/model basis</t>
  </si>
  <si>
    <t>Reference estimate — applicability unreviewed</t>
  </si>
  <si>
    <t>Large workstation — heavy work</t>
  </si>
  <si>
    <t>Source-linked example: Large workstation — heavy work; verify its specification using the source link in L. Heavy workload. Representative tested maximum; model-specific Zero latent requires no uncaptured moisture. Match room allocation and duty; count once.</t>
  </si>
  <si>
    <t>Representative tested maximum; model-specific</t>
  </si>
  <si>
    <t>E013</t>
  </si>
  <si>
    <t>https://support.apple.com/en-ie/102839</t>
  </si>
  <si>
    <t>Very high-powered workstation — heavy work</t>
  </si>
  <si>
    <t>Source-linked example: Very high-powered workstation — heavy work; verify its specification using the source link in L. Heavy workload. D uses 902 W from the stated source figure/range endpoint; original reference retained in G. Rounded from 902 W; high-end 2019 Mac Pro example Zero latent requires no uncaptured moisture. Match room allocation and duty; count once.</t>
  </si>
  <si>
    <t>Rounded from 902 W; high-end 2019 Mac Pro example</t>
  </si>
  <si>
    <t>E015</t>
  </si>
  <si>
    <t>Ordinary laptop</t>
  </si>
  <si>
    <t>ASHRAE 2017 undocked laptop sample; Average of measured 15-minute peaks. Historical two-laptop sample,46–59W; requires accepted comparability. Excludes dock and external display; do not treat charger capacity as heat. Charging/storage conditions require separate confirmation. D is sensible heat estimate; E=0 assumes no moisture released. Confirm model, duty and room allocation before use. Original reference G/H is retained, not the new calculation input.</t>
  </si>
  <si>
    <t>Historical two-laptop sample,46–59W; requires accepted comparability. Excludes dock and external display; do not treat charger capacity as heat. Charging/storage conditions require separate confirmation. Previous reference context: 50 W selected as a preliminary active-use assumption within the published sample range; not a measured average.</t>
  </si>
  <si>
    <t>2017 Fundamentals ch18 Table8B; Bach and Sarfraz</t>
  </si>
  <si>
    <t>ASHRAE 2017 undocked laptop sample</t>
  </si>
  <si>
    <t>Displays</t>
  </si>
  <si>
    <t>Office monitor</t>
  </si>
  <si>
    <t>CONDITIONAL — stated operation</t>
  </si>
  <si>
    <t>Dell P2425H; Published on-mode. Specific monitor example; not maximum brightness/USB-power allowance. Excludes powered peripherals. Same item as24-inch monitor row: count once. D is sensible heat estimate; E=0 assumes no moisture released. Confirm model, duty and room allocation before use. Original reference G/H is retained, not the new calculation input.</t>
  </si>
  <si>
    <t>Published on-mode</t>
  </si>
  <si>
    <t>Specific monitor example; not maximum brightness/USB-power allowance. Excludes powered peripherals. Same item as24-inch monitor row: count once. Previous reference context: 20 W selected as a preliminary screen-on assumption within the published sample range.</t>
  </si>
  <si>
    <t>Dell P2425H technical datasheet</t>
  </si>
  <si>
    <t>https://www.delltechnologies.com/asset/en-gb/products/electronics-and-accessories/technical-support/dell-24-monitor-p2425h-datasheet.pdf.external</t>
  </si>
  <si>
    <t>Dell P2425H</t>
  </si>
  <si>
    <t>Projector</t>
  </si>
  <si>
    <t>Epson linked projector electrical specification: 315 W normal mode at 220–240 V; 225 W ECO. Use 315 W only in normal mode, with projector losses/light retained in room. Original 300 W rounded value is not the calculation input. Verify model against source and count external equipment separately.</t>
  </si>
  <si>
    <t>Normal mode</t>
  </si>
  <si>
    <t>Rounded from 315 W; ECO mode lower</t>
  </si>
  <si>
    <t>E020</t>
  </si>
  <si>
    <t>https://files.support.epson.com/docid/cpd5/cpd54229/source/specifications/reference/pl107_990u/spex_electrical_pl107_990u.html</t>
  </si>
  <si>
    <t>Lighting</t>
  </si>
  <si>
    <t>Small LED bulb</t>
  </si>
  <si>
    <t>Source-linked example: Small LED bulb; verify its specification using the source link in L. Full brightness. Rounded from 4.9 W; light retained indoors Zero latent requires no uncaptured moisture. Match room allocation and duty; count once.</t>
  </si>
  <si>
    <t>Full brightness</t>
  </si>
  <si>
    <t>Rounded from 4.9 W; light retained indoors</t>
  </si>
  <si>
    <t>E022</t>
  </si>
  <si>
    <t>https://www.lighting.philips.com.au/consumer/p/led-bulb-49w-a60-e27-2700k-nondim/8718699651237</t>
  </si>
  <si>
    <t>Standard LED bulb</t>
  </si>
  <si>
    <t>Source-linked example: Standard LED bulb; verify its specification using the source link in L. Full brightness. Named 8 W example; light retained indoors Zero latent requires no uncaptured moisture. Match room allocation and duty; count once.</t>
  </si>
  <si>
    <t>Named 8 W example; light retained indoors</t>
  </si>
  <si>
    <t>E023</t>
  </si>
  <si>
    <t>https://www.lighting.philips.com.au/consumer/p/led-bulb-8w-a60s-e27-3000k-nondim/8718699688004</t>
  </si>
  <si>
    <t>Bright LED bulb</t>
  </si>
  <si>
    <t>Source-linked example: Bright LED bulb; verify its specification using the source link in L. Full brightness. Named 13 W example; light retained indoors Zero latent requires no uncaptured moisture. Match room allocation and duty; count once.</t>
  </si>
  <si>
    <t>Named 13 W example; light retained indoors</t>
  </si>
  <si>
    <t>E024</t>
  </si>
  <si>
    <t>https://www.lighting.philips.com.au/consumer/p/led-bulb-82w-a55-e27-x3/8718699688264</t>
  </si>
  <si>
    <t>LED downlight — smaller</t>
  </si>
  <si>
    <t>Source-linked example: LED downlight — smaller; verify its specification using the source link in L. Full brightness. Fixture input; room/plenum allocation still needed Zero latent requires no uncaptured moisture. Match room allocation and duty; count once.</t>
  </si>
  <si>
    <t>Fixture input; room/plenum allocation still needed</t>
  </si>
  <si>
    <t>E025</t>
  </si>
  <si>
    <t>https://www.lighting.philips.com/prof/indoor-luminaires/downlights/general-lighting-downlights/essential-smartbright-led-downlight/929002675438_EU/product</t>
  </si>
  <si>
    <t>Full/dimmed/emergency; driver and accessories</t>
  </si>
  <si>
    <t>LED downlight — larger</t>
  </si>
  <si>
    <t>Source-linked example: LED downlight — larger; verify its specification using the source link in L. Full brightness. Fixture input; room/plenum allocation still needed Zero latent requires no uncaptured moisture. Match room allocation and duty; count once.</t>
  </si>
  <si>
    <t>E026</t>
  </si>
  <si>
    <t>https://www.lighting.philips.com.ph/prof/indoor-luminaires/downlights/essential-smartbright-led-downlight/LP_CF_DN027_EU/family</t>
  </si>
  <si>
    <t>Office</t>
  </si>
  <si>
    <t>Small laser printer</t>
  </si>
  <si>
    <t>CONDITIONAL — idle/standby only</t>
  </si>
  <si>
    <t>Source-linked example: Small laser printer; verify its specification using the source link in L. Printing; not standby. D uses 89 W from the stated source figure/range endpoint; original reference retained in G. Rounded reference within 65–89 W tested peaks DO NOT use for active-operation hours. Zero latent requires no uncaptured moisture. Match room allocation and duty; count once.</t>
  </si>
  <si>
    <t>Printing; not standby</t>
  </si>
  <si>
    <t>Rounded reference within 65–89 W tested peaks</t>
  </si>
  <si>
    <t>E028</t>
  </si>
  <si>
    <t>Office / commercial</t>
  </si>
  <si>
    <t>Large multifunction printer</t>
  </si>
  <si>
    <t>Source-linked example: Large multifunction printer; verify its specification using the source link in L. Printing; not standby. D uses 540 W from the stated source figure/range endpoint; original reference retained in G. Rounded reference within 303–540 W tested peaks DO NOT use for active-operation hours. Zero latent requires no uncaptured moisture. Match room allocation and duty; count once.</t>
  </si>
  <si>
    <t>Rounded reference within 303–540 W tested peaks</t>
  </si>
  <si>
    <t>E029</t>
  </si>
  <si>
    <t>Cash register</t>
  </si>
  <si>
    <t>Source-linked example: Cash register; verify its specification using the source link in L. Active. Rounded from 9 W tested unit Zero latent requires no uncaptured moisture. Match room allocation and duty; count once.</t>
  </si>
  <si>
    <t>Active</t>
  </si>
  <si>
    <t>Rounded from 9 W tested unit</t>
  </si>
  <si>
    <t>E032</t>
  </si>
  <si>
    <t>Fans</t>
  </si>
  <si>
    <t>Ceiling fan — older AC type</t>
  </si>
  <si>
    <t>Fanco Breeze AC 52-inch F0100/101B, no light; Speed3. A current AC example, not all older fans. Other speeds15W/26W. Entire fan and air motion inside room; light separate. D is sensible heat estimate; E=0 assumes no moisture released. Confirm model, duty and room allocation before use. Original reference G/H is retained, not the new calculation input.</t>
  </si>
  <si>
    <t>Speed3</t>
  </si>
  <si>
    <t>A current AC example, not all older fans. Other speeds15W/26W. Entire fan and air motion inside room; light separate. Previous reference context: Illustrative allowance within legacy 65–175 W ratings; DC fans differ</t>
  </si>
  <si>
    <t>Fanco Breeze AC specification p12</t>
  </si>
  <si>
    <t>https://fanco.com.au/wp-content/uploads/spec-sheets/breeze-ac-specsheet.pdf</t>
  </si>
  <si>
    <t>Fanco Breeze AC 52-inch F0100/101B, no light</t>
  </si>
  <si>
    <t>Fan / cooling subsystem</t>
  </si>
  <si>
    <t>Speed/duty; motor location; controls separate</t>
  </si>
  <si>
    <t>Heating</t>
  </si>
  <si>
    <t>Portable electric heater</t>
  </si>
  <si>
    <t>Source-linked example: Portable electric heater; verify its specification using the source link in L. Element on. Legacy 1.5 kW example; AU models can be higher Zero latent requires no uncaptured moisture. Match room allocation and duty; count once.</t>
  </si>
  <si>
    <t>Element on</t>
  </si>
  <si>
    <t>Legacy 1.5 kW example; AU models can be higher</t>
  </si>
  <si>
    <t>E040</t>
  </si>
  <si>
    <t>https://ext.vt.edu/content/pubs_ext_vt_edu/en/2901/2901-9014/2901-9014.html</t>
  </si>
  <si>
    <t>Single electric blanket</t>
  </si>
  <si>
    <t>Source-linked example: Single electric blanket; verify its specification using the source link in L. Element on. Thermostat cycling reduces hourly average Zero latent requires no uncaptured moisture. Match room allocation and duty; count once.</t>
  </si>
  <si>
    <t>Thermostat cycling reduces hourly average</t>
  </si>
  <si>
    <t>E041</t>
  </si>
  <si>
    <t>Double electric blanket</t>
  </si>
  <si>
    <t>Source-linked example: Double electric blanket; verify its specification using the source link in L. Element on. Thermostat cycling reduces hourly average Zero latent requires no uncaptured moisture. Match room allocation and duty; count once.</t>
  </si>
  <si>
    <t>E042</t>
  </si>
  <si>
    <t>Audio</t>
  </si>
  <si>
    <t>Clock radio</t>
  </si>
  <si>
    <t>Source-linked example: Clock radio; verify its specification using the source link in L. On. Legacy example; check model Zero latent requires no uncaptured moisture. Match room allocation and duty; count once.</t>
  </si>
  <si>
    <t>On</t>
  </si>
  <si>
    <t>Legacy example; check model</t>
  </si>
  <si>
    <t>E047</t>
  </si>
  <si>
    <t>Networking / communications</t>
  </si>
  <si>
    <t>Idle/traffic; PoE supplied vs local losses</t>
  </si>
  <si>
    <t>Refrigeration</t>
  </si>
  <si>
    <t>Mini fridge — 88 L sample</t>
  </si>
  <si>
    <t>CONDITIONAL — balanced-room analogue</t>
  </si>
  <si>
    <t>57 W conditional sensible estimate; historical 88 L dorm-fridge sample.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</si>
  <si>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Historical 15-minute peak; conditional whole-appliance room balance</t>
  </si>
  <si>
    <t>ASHRAE 2017 Fundamentals Ch18 Table10; Bach and Sarfraz (2017)</t>
  </si>
  <si>
    <t>Published reference + explicit room-balance assumptions; project review required</t>
  </si>
  <si>
    <t>88 L dorm-fridge sample</t>
  </si>
  <si>
    <t>Historical test analogue; project applicability unconfirmed</t>
  </si>
  <si>
    <t>Rechecked 18 Oct 2026; sensible/latent allocation is conditional inference, not engineering approval</t>
  </si>
  <si>
    <t>Freezer — 510 L sample</t>
  </si>
  <si>
    <t>125 W conditional sensible estimate; historical 510 L freezer sample.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</si>
  <si>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510 L freezer sample</t>
  </si>
  <si>
    <t>Compressor on/off; self-contained/remote condenser; defrost; fans</t>
  </si>
  <si>
    <t>Fridge — 510 L sample</t>
  </si>
  <si>
    <t>430 W conditional sensible estimate; historical 510 L fridge sample; upper end of published 387–430 W range.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</si>
  <si>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510 L fridge sample; upper end of published 387–430 W range</t>
  </si>
  <si>
    <t>Ice maker/dispenser — 9 kg bin</t>
  </si>
  <si>
    <t>BLOCKED — refrigeration balance</t>
  </si>
  <si>
    <t>NUMERIC EXAMPLE: 658 W (0.658 kW); EXISTING REFERENCE — scope/state limits apply.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t>
  </si>
  <si>
    <t>Tested peak example</t>
  </si>
  <si>
    <t>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t>
  </si>
  <si>
    <t>ASHRAE 2017 Fundamentals Ch18 Table10; ice maker/dispenser 9 kg bin</t>
  </si>
  <si>
    <t>Rechecked 18 Oct 2026; incomplete room heat input — retain blocked</t>
  </si>
  <si>
    <t>Readiness reviewed 19 Oct 2026 — unresolved; no project/engineering approval</t>
  </si>
  <si>
    <t>EXISTING REFERENCE — scope/state limits apply</t>
  </si>
  <si>
    <t>Tested peak example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 This retains the original reference, including any unresolved source limitations; it is not newly validated net room heat. REQUIRED: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t>
  </si>
  <si>
    <t>Paper shredder</t>
  </si>
  <si>
    <t>Source-linked example: Paper shredder; verify its specification using the source link in L. Historic sample: 15-minute peak. Sample-specific estimate; verify selected model and duty. Zero latent requires no uncaptured moisture. Match room allocation and duty; count once.</t>
  </si>
  <si>
    <t>Historic sample: 15-minute peak</t>
  </si>
  <si>
    <t>Sample-specific estimate; verify selected model and duty.</t>
  </si>
  <si>
    <t>ASHRAE 2017, Table 10</t>
  </si>
  <si>
    <t>Thermal binder</t>
  </si>
  <si>
    <t>Source-linked example: Thermal binder; verify its specification using the source link in L. Historic sample: 15-minute peak. Sample-specific estimate; verify selected model and duty. Zero latent requires no uncaptured moisture. Match room allocation and duty; count once.</t>
  </si>
  <si>
    <t>Desktop speakers</t>
  </si>
  <si>
    <t>Source-linked example: Desktop speakers; verify its specification using the source link in L. Historic sample: 15-minute peak. Sample-specific estimate; verify selected model and duty. Zero latent requires no uncaptured moisture. Match room allocation and duty; count once.</t>
  </si>
  <si>
    <t>Retail</t>
  </si>
  <si>
    <t>Touchscreen POS terminal</t>
  </si>
  <si>
    <t>Source-linked example: Touchscreen POS terminal; verify its specification using the source link in L. Historic sample: 15-minute peak. Sample-specific estimate; verify selected model and duty. Zero latent requires no uncaptured moisture. Match room allocation and duty; count once.</t>
  </si>
  <si>
    <t>Retail / supermarket</t>
  </si>
  <si>
    <t>Self-checkout terminal</t>
  </si>
  <si>
    <t>Source-linked example: Self-checkout terminal; verify its specification using the source link in L. Historic sample: 15-minute peak. Sample-specific estimate; verify selected model and duty. Zero latent requires no uncaptured moisture. Match room allocation and duty; count once.</t>
  </si>
  <si>
    <t>Snack vending machine</t>
  </si>
  <si>
    <t>54 W conditional sensible estimate; historical snack-vending sample.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</si>
  <si>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snack-vending sample</t>
  </si>
  <si>
    <t>Refrigerated drinks vending machine</t>
  </si>
  <si>
    <t>940 W conditional sensible estimate; historical drinks-vending sample, 280–400 items.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</si>
  <si>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drinks-vending sample, 280–400 items</t>
  </si>
  <si>
    <t>Refrigerated food vending machine</t>
  </si>
  <si>
    <t>465 W conditional sensible estimate; historical food-vending sample. Use only after accepting this analogue for the project. Whole appliance and condenser must be in this room; product entering/leaving must have negligible net energy transfer over the calculation period, with no net moisture release (0 W latent is an assumption, not a measured split). Do not use for pull-down, frequent loading, defrost peaks or remote condensers without a separate balance. Do not add electrical input or condenser rejection again. This is a 15-minute peak reference, not annual-average consumption; do not apply another compressor duty factor unless independently justified.</t>
  </si>
  <si>
    <t>food-vending sample</t>
  </si>
  <si>
    <t>Workshop</t>
  </si>
  <si>
    <t>Small soldering station</t>
  </si>
  <si>
    <t>Source-linked example: Small soldering station; verify its specification using the source link in L. Historic sample: 15-minute peak. Sample-specific estimate; verify selected model and duty. Zero latent requires no uncaptured moisture. Match room allocation and duty; count once.</t>
  </si>
  <si>
    <t>Laboratory</t>
  </si>
  <si>
    <t>Analytical balance</t>
  </si>
  <si>
    <t>Source-linked example: Analytical balance; verify its specification using the source link in L. Historic sample: average operation. Sample-specific estimate; verify selected model and duty. Zero latent requires no uncaptured moisture. Match room allocation and duty; count once.</t>
  </si>
  <si>
    <t>Historic sample: average operation</t>
  </si>
  <si>
    <t>ASHRAE 2017, Table 7</t>
  </si>
  <si>
    <t>Laboratory / research</t>
  </si>
  <si>
    <t>Small centrifuge</t>
  </si>
  <si>
    <t>Source-linked example: Small centrifuge; verify its specification using the source link in L. Historic sample: average operation. Sample-specific estimate; verify selected model and duty. Zero latent requires no uncaptured moisture. Match room allocation and duty; count once.</t>
  </si>
  <si>
    <t>Large centrifuge</t>
  </si>
  <si>
    <t>Source-linked example: Large centrifuge; verify its specification using the source link in L. Historic sample: average operation. Sample-specific estimate; verify selected model and duty. Zero latent requires no uncaptured moisture. Match room allocation and duty; count once.</t>
  </si>
  <si>
    <t>Electrochemical analyser</t>
  </si>
  <si>
    <t>Source-linked example: Electrochemical analyser; verify its specification using the source link in L. Historic sample: average operation. Sample-specific estimate; verify selected model and duty. Zero latent requires no uncaptured moisture. Match room allocation and duty; count once.</t>
  </si>
  <si>
    <t>Flame photometer</t>
  </si>
  <si>
    <t>BLOCKED — incomplete item</t>
  </si>
  <si>
    <t>NUMERIC EXAMPLE: 105 W (0.105 kW); EXISTING REFERENCE — scope/state limits apply.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t>
  </si>
  <si>
    <t>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t>
  </si>
  <si>
    <t>Historic sample: average operation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 This retains the original reference, including any unresolved source limitations; it is not newly validated net room heat. REQUIRED: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t>
  </si>
  <si>
    <t>Fluorescence microscope</t>
  </si>
  <si>
    <t>Source-linked example: Fluorescence microscope; verify its specification using the source link in L. Historic sample: average operation. Sample-specific estimate; verify selected model and duty. Zero latent requires no uncaptured moisture. Match room allocation and duty; count once.</t>
  </si>
  <si>
    <t>Function generator</t>
  </si>
  <si>
    <t>Source-linked example: Function generator; verify its specification using the source link in L. Historic sample: average operation. Sample-specific estimate; verify selected model and duty. Zero latent requires no uncaptured moisture. Match room allocation and duty; count once.</t>
  </si>
  <si>
    <t>Small incubator</t>
  </si>
  <si>
    <t>Source-linked example: Small incubator; verify its specification using the source link in L. Historic sample: average operation. Sample-specific estimate; verify selected model and duty. Zero latent requires no uncaptured moisture. Match room allocation and duty; count once.</t>
  </si>
  <si>
    <t>Orbital shaker</t>
  </si>
  <si>
    <t>Source-linked example: Orbital shaker; verify its specification using the source link in L. Historic sample: average operation. Sample-specific estimate; verify selected model and duty. Zero latent requires no uncaptured moisture. Match room allocation and duty; count once.</t>
  </si>
  <si>
    <t>Oscilloscope</t>
  </si>
  <si>
    <t>Source-linked example: Oscilloscope; verify its specification using the source link in L. Historic sample: average operation. Sample-specific estimate; verify selected model and duty. Zero latent requires no uncaptured moisture. Match room allocation and duty; count once.</t>
  </si>
  <si>
    <t>Thermocycler</t>
  </si>
  <si>
    <t>Source-linked example: Thermocycler; verify its specification using the source link in L. Historic sample: average operation. Sample-specific estimate; verify selected model and duty. Zero latent requires no uncaptured moisture. Match room allocation and duty; count once.</t>
  </si>
  <si>
    <t>Networking</t>
  </si>
  <si>
    <t>Compact Wi-Fi access point</t>
  </si>
  <si>
    <t>Match Reference: Ubiquiti U6+;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</si>
  <si>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Manufacturer power allowance; not measured typical</t>
  </si>
  <si>
    <t>Count heat in device room; exclude this power from switch losses. Outdoor devices do not heat the indoor room.</t>
  </si>
  <si>
    <t>Ubiquiti U6+</t>
  </si>
  <si>
    <t>https://help.ui.com/hc/en-us/articles/115000263008-PoE-Availability-and-Modes</t>
  </si>
  <si>
    <t>PoE-powered endpoint — count once</t>
  </si>
  <si>
    <t>Reference: Ubiquiti U6+; installed model unconfirmed</t>
  </si>
  <si>
    <t>Standard Wi-Fi access point</t>
  </si>
  <si>
    <t>Match Reference: Ubiquiti U6 Pro;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</si>
  <si>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U6 Pro</t>
  </si>
  <si>
    <t>Reference: Ubiquiti U6 Pro; installed model unconfirmed</t>
  </si>
  <si>
    <t>Long-range Wi-Fi access point</t>
  </si>
  <si>
    <t>Match Reference: Ubiquiti U6 Long-Range;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</si>
  <si>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U6 Long-Range</t>
  </si>
  <si>
    <t>Reference: Ubiquiti U6 Long-Range; installed model unconfirmed</t>
  </si>
  <si>
    <t>Enterprise Wi-Fi access point</t>
  </si>
  <si>
    <t>Match Reference: Ubiquiti U6 Enterprise;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</si>
  <si>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U6 Enterprise</t>
  </si>
  <si>
    <t>Reference: Ubiquiti U6 Enterprise; installed model unconfirmed</t>
  </si>
  <si>
    <t>Security</t>
  </si>
  <si>
    <t>Compact security camera</t>
  </si>
  <si>
    <t>Match Reference: Ubiquiti G5 Flex;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</si>
  <si>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G5 Flex</t>
  </si>
  <si>
    <t>Reference: Ubiquiti G5 Flex; installed model unconfirmed</t>
  </si>
  <si>
    <t>Bullet security camera</t>
  </si>
  <si>
    <t>Match Reference: Ubiquiti G5 Bullet;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</si>
  <si>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G5 Bullet</t>
  </si>
  <si>
    <t>Reference: Ubiquiti G5 Bullet; installed model unconfirmed</t>
  </si>
  <si>
    <t>Dome security camera</t>
  </si>
  <si>
    <t>Match Reference: Ubiquiti G5 Dome;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</si>
  <si>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G5 Dome</t>
  </si>
  <si>
    <t>Reference: Ubiquiti G5 Dome; installed model unconfirmed</t>
  </si>
  <si>
    <t>360-degree security camera</t>
  </si>
  <si>
    <t>Match Reference: Ubiquiti AI 360;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</si>
  <si>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AI 360</t>
  </si>
  <si>
    <t>Reference: Ubiquiti AI 360; installed model unconfirmed</t>
  </si>
  <si>
    <t>High-resolution security camera</t>
  </si>
  <si>
    <t>Match Reference: Ubiquiti G5 Pro;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</si>
  <si>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G5 Pro</t>
  </si>
  <si>
    <t>Reference: Ubiquiti G5 Pro; installed model unconfirmed</t>
  </si>
  <si>
    <t>PTZ security camera</t>
  </si>
  <si>
    <t>Match Reference: Ubiquiti PTZ Ultra;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</si>
  <si>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PTZ Ultra</t>
  </si>
  <si>
    <t>Reference: Ubiquiti PTZ Ultra; installed model unconfirmed</t>
  </si>
  <si>
    <t>Access card reader</t>
  </si>
  <si>
    <t>Match Reference: Ubiquiti G2 Reader;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</si>
  <si>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G2 Reader</t>
  </si>
  <si>
    <t>Reference: Ubiquiti G2 Reader; installed model unconfirmed</t>
  </si>
  <si>
    <t>Video intercom</t>
  </si>
  <si>
    <t>Match Reference: Ubiquiti Intercom;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</si>
  <si>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Intercom</t>
  </si>
  <si>
    <t>Reference: Ubiquiti Intercom; installed model unconfirmed</t>
  </si>
  <si>
    <t>Intercom viewing screen</t>
  </si>
  <si>
    <t>Match Reference: Ubiquiti Intercom Viewer;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</si>
  <si>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Intercom Viewer</t>
  </si>
  <si>
    <t>Reference: Ubiquiti Intercom Viewer; installed model unconfirmed</t>
  </si>
  <si>
    <t>Communications</t>
  </si>
  <si>
    <t>IP desk phone</t>
  </si>
  <si>
    <t>Match Reference: Ubiquiti Phone Touch;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</si>
  <si>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Phone Touch</t>
  </si>
  <si>
    <t>Reference: Ubiquiti Phone Touch; installed model unconfirmed</t>
  </si>
  <si>
    <t>Large-screen IP desk phone</t>
  </si>
  <si>
    <t>Match Reference: Ubiquiti Phone Touch Max;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</si>
  <si>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Phone Touch Max</t>
  </si>
  <si>
    <t>Reference: Ubiquiti Phone Touch Max; installed model unconfirmed</t>
  </si>
  <si>
    <t>Room booking / information display</t>
  </si>
  <si>
    <t>Match Reference: Ubiquiti Connect Display; installed model unconfirmed. Manufacturer power allowance; not measured typical. Count heat in device room; exclude this power from switch losses. Outdoor devices do not heat the indoor room. Zero latent requires no uncaptured moisture. Match room allocation and duty; count once.</t>
  </si>
  <si>
    <t>Ubiquiti Connect Display</t>
  </si>
  <si>
    <t>Reference: Ubiquiti Connect Display; installed model unconfirmed</t>
  </si>
  <si>
    <t>LED bulkhead light</t>
  </si>
  <si>
    <t>Match Reference: Clipsal CLITPBH; installed model unconfirmed. Full output; entire fitting inside zone. Electrical input becomes heat if retained in zone. Allocate plenum/exterior losses separately. Zero latent requires no uncaptured moisture. Match room allocation and duty; count once.</t>
  </si>
  <si>
    <t>Full output; entire fitting inside zone</t>
  </si>
  <si>
    <t>Electrical input becomes heat if retained in zone. Allocate plenum/exterior losses separately.</t>
  </si>
  <si>
    <t>Clipsal CLITPBH</t>
  </si>
  <si>
    <t>https://www.clipsal.com/products/lighting/clipsal-lighting</t>
  </si>
  <si>
    <t>Reference: Clipsal CLITPBH; installed model unconfirmed</t>
  </si>
  <si>
    <t>LED circular ceiling light</t>
  </si>
  <si>
    <t>Match Reference: Clipsal CLITPCLS; installed model unconfirmed. Full output; entire fitting inside zone. Electrical input becomes heat if retained in zone. Allocate plenum/exterior losses separately. Zero latent requires no uncaptured moisture. Match room allocation and duty; count once.</t>
  </si>
  <si>
    <t>Clipsal CLITPCLS</t>
  </si>
  <si>
    <t>Reference: Clipsal CLITPCLS; installed model unconfirmed</t>
  </si>
  <si>
    <t>LED batten — 600 mm</t>
  </si>
  <si>
    <t>Match Reference: Clipsal CLITPDB600; installed model unconfirmed. Full output; entire fitting inside zone. Electrical input becomes heat if retained in zone. Allocate plenum/exterior losses separately. Zero latent requires no uncaptured moisture. Match room allocation and duty; count once.</t>
  </si>
  <si>
    <t>Clipsal CLITPDB600</t>
  </si>
  <si>
    <t>Reference: Clipsal CLITPDB600; installed model unconfirmed</t>
  </si>
  <si>
    <t>LED batten — 1200 mm</t>
  </si>
  <si>
    <t>Match Reference: Clipsal CLITPDB1200; installed model unconfirmed. Full output; entire fitting inside zone. Electrical input becomes heat if retained in zone. Allocate plenum/exterior losses separately. Zero latent requires no uncaptured moisture. Match room allocation and duty; count once.</t>
  </si>
  <si>
    <t>Clipsal CLITPDB1200</t>
  </si>
  <si>
    <t>Reference: Clipsal CLITPDB1200; installed model unconfirmed</t>
  </si>
  <si>
    <t>Weatherproof LED batten — 600 mm</t>
  </si>
  <si>
    <t>Match Reference: Clipsal CLITPWP600; installed model unconfirmed. Full output; entire fitting inside zone. Electrical input becomes heat if retained in zone. Allocate plenum/exterior losses separately. Zero latent requires no uncaptured moisture. Match room allocation and duty; count once.</t>
  </si>
  <si>
    <t>Clipsal CLITPWP600</t>
  </si>
  <si>
    <t>Reference: Clipsal CLITPWP600; installed model unconfirmed</t>
  </si>
  <si>
    <t>Weatherproof LED batten — 1200 mm</t>
  </si>
  <si>
    <t>Match Reference: Clipsal CLITPWP1200; installed model unconfirmed. Full output; entire fitting inside zone. Electrical input becomes heat if retained in zone. Allocate plenum/exterior losses separately. Zero latent requires no uncaptured moisture. Match room allocation and duty; count once.</t>
  </si>
  <si>
    <t>Clipsal CLITPWP1200</t>
  </si>
  <si>
    <t>Reference: Clipsal CLITPWP1200; installed model unconfirmed</t>
  </si>
  <si>
    <t>Architectural LED batten</t>
  </si>
  <si>
    <t>Match Reference: Clipsal CLITPDBSLED2; installed model unconfirmed. Full output; entire fitting inside zone. Electrical input becomes heat if retained in zone. Allocate plenum/exterior losses separately. Zero latent requires no uncaptured moisture. Match room allocation and duty; count once.</t>
  </si>
  <si>
    <t>Clipsal CLITPDBSLED2</t>
  </si>
  <si>
    <t>https://www.clipsal.com/products/lighting/clipsal-lighting/architectural-batten-led-40w-1200mm-4000k-clitpdbsled2?itemno=CLITPDBSLED2</t>
  </si>
  <si>
    <t>Reference: Clipsal CLITPDBSLED2; installed model unconfirmed</t>
  </si>
  <si>
    <t>Compact document scanner</t>
  </si>
  <si>
    <t>Match Reference: Brother ADS-1600W; installed model unconfirmed. Actively scanning. Power-based heat estimate; lower when idle. Zero latent requires no uncaptured moisture. Match room allocation and duty; count once.</t>
  </si>
  <si>
    <t>Actively scanning</t>
  </si>
  <si>
    <t>Power-based heat estimate; lower when idle.</t>
  </si>
  <si>
    <t>Brother ADS-1600W</t>
  </si>
  <si>
    <t>https://www.brother.com.au/-/media/ap2/australia/products/common/brochures/ads-1600w_brochure.pdf?rev=bdd4da6a90f54364a1f0f20a70547480</t>
  </si>
  <si>
    <t>Reference: Brother ADS-1600W; installed model unconfirmed</t>
  </si>
  <si>
    <t>Portable document scanner</t>
  </si>
  <si>
    <t>Match Reference: Brother DS-940DW; installed model unconfirmed. Scanning over Wi-Fi. Rounded from 4.6 W; do not add USB supply power again. Zero latent requires no uncaptured moisture. Match room allocation and duty; count once.</t>
  </si>
  <si>
    <t>Scanning over Wi-Fi</t>
  </si>
  <si>
    <t>Rounded from 4.6 W; do not add USB supply power again.</t>
  </si>
  <si>
    <t>Brother DS-940DW</t>
  </si>
  <si>
    <t>https://www.brother.com.au/-/media/ap2/Australia/Products/Common/Brochures/DS-940DW_Brochure.pdf?rev=5bbf3448a14140c68d5ce39d52c025b8</t>
  </si>
  <si>
    <t>Reference: Brother DS-940DW; installed model unconfirmed</t>
  </si>
  <si>
    <t>A3 inkjet multifunction printer</t>
  </si>
  <si>
    <t>Match Reference: Brother MFC-J6540DW; installed model unconfirmed. Copying. Specific model operating input; idle power is lower. Zero latent requires no uncaptured moisture. Match room allocation and duty; count once.</t>
  </si>
  <si>
    <t>Copying</t>
  </si>
  <si>
    <t>Specific model operating input; idle power is lower.</t>
  </si>
  <si>
    <t>Brother MFC-J6540DW</t>
  </si>
  <si>
    <t>https://www.brother.com.au/-/media/ap2/Australia/Products/Common/Brochures/MFC-J6540DW-Brochure.pdf?rev=74033a4949f748af97543cd70149e674</t>
  </si>
  <si>
    <t>Reference: Brother MFC-J6540DW; installed model unconfirmed</t>
  </si>
  <si>
    <t>43-inch commercial TV / signage</t>
  </si>
  <si>
    <t>Match Reference: Samsung BEFX-H 43; installed model unconfirmed. Published on-mode rating. Model-specific power allowance; brightness/content change actual draw. Zero latent requires no uncaptured moisture. Match room allocation and duty; count once.</t>
  </si>
  <si>
    <t>Published on-mode rating</t>
  </si>
  <si>
    <t>Model-specific power allowance; brightness/content change actual draw.</t>
  </si>
  <si>
    <t>Samsung BEFX-H 43</t>
  </si>
  <si>
    <t>https://www.samsung.com/uk/business/smart-signage/uhd-4k-signage/befx-h-lh43befhlgkxxu/</t>
  </si>
  <si>
    <t>Reference: Samsung BEFX-H 43; installed model unconfirmed</t>
  </si>
  <si>
    <t>Power / IT</t>
  </si>
  <si>
    <t>1500 VA desktop UPS — losses only</t>
  </si>
  <si>
    <t>Match Reference: Schneider FAQ FA310513; installed model unconfirmed. Online, full load; BX/BR1500G example. 100 BTU/h × 0.293071 ≈ 29 W. Add connected equipment separately, once. Zero latent requires no uncaptured moisture. Match room allocation and duty; count once.</t>
  </si>
  <si>
    <t>Online, full load; BX/BR1500G example</t>
  </si>
  <si>
    <t>100 BTU/h × 0.293071 ≈ 29 W. Add connected equipment separately, once.</t>
  </si>
  <si>
    <t>Schneider FAQ FA310513</t>
  </si>
  <si>
    <t>https://www.se.com/ie/en/faqs/FA310513/</t>
  </si>
  <si>
    <t>Reference: Schneider FAQ FA310513; installed model unconfirmed</t>
  </si>
  <si>
    <t>Power conversion / distribution</t>
  </si>
  <si>
    <t>Load percentage; normal/bypass/charging; losses only</t>
  </si>
  <si>
    <t>50 kW modular UPS — losses only</t>
  </si>
  <si>
    <t>Match Reference: Schneider Easy UPS 3-Phase Modular; installed model unconfirmed. 400 V, normal mode, 25% load. 1916 BTU/h × 0.293071 ≈ 560 W. Rating is not room heat; excludes downstream loads. Zero latent requires no uncaptured moisture. Match room allocation and duty; count once.</t>
  </si>
  <si>
    <t>400 V, normal mode, 25% load</t>
  </si>
  <si>
    <t>1916 BTU/h × 0.293071 ≈ 560 W. Rating is not room heat; excludes downstream loads.</t>
  </si>
  <si>
    <t>Schneider Easy UPS 3-Phase Modular</t>
  </si>
  <si>
    <t>https://productinfo.se.com/easyups3pmodular/990-91580-technical-specifications-easy-ups-3-phase-modular/English/990-91580%20Technical%20Specifications%20Easy%20UPS%203-Phase%20Modular50-250%20kW%20UPS_0001011916.xml/%24/GalaxyPX_HeatdissipitationREF_0000758269</t>
  </si>
  <si>
    <t>Reference: Schneider Easy UPS 3-Phase Modular; installed model unconfirmed</t>
  </si>
  <si>
    <t>Cleaning</t>
  </si>
  <si>
    <t>Corded vacuum cleaner</t>
  </si>
  <si>
    <t>Kärcher VC 2, 1.198-035.0, 220–240 V. Rated-input sensible upper estimate, not measured usual consumption. Dry cleaning only; motor, exhaust and dissipated air motion stay inside this room. Apply actual running minutes/60, not entire working day. Operator heat separate. E=0 requires no uncaptured moisture. Confirm installed equipment and conditions; no engineering approval implied. G/H retain the earlier reference.</t>
  </si>
  <si>
    <t>Rated input, running</t>
  </si>
  <si>
    <t>Rated-input sensible upper estimate, not measured usual consumption. Dry cleaning only; motor, exhaust and dissipated air motion stay inside this room. Apply actual running minutes/60, not entire working day. Operator heat separate. Previous reference/model context (not current D): Chosen within legacy 1000–1440 W range; intermittent use.</t>
  </si>
  <si>
    <t>Kärcher VC2 technical data: rated input700W</t>
  </si>
  <si>
    <t>https://www.kaercher.com/int/home-garden/vacuum-cleaners/vc-2-11980350.html</t>
  </si>
  <si>
    <t>Manufacturer reference with conditional heat interpretation</t>
  </si>
  <si>
    <t>Kärcher VC 2, 1.198-035.0, 220–240 V</t>
  </si>
  <si>
    <t>Checked18 Oct2026; installed model and conditions unconfirmed</t>
  </si>
  <si>
    <t>AV / residential</t>
  </si>
  <si>
    <t>Stereo system</t>
  </si>
  <si>
    <t>Denon D-M41 / RCD-M41, 230 V, with passive speakers. Conditional rated-input estimate; source does not define listening volume or guarantee a maximum. Receiver AND passive speakers must be in this room. Do not add the2×30W audio output again. Active subwoofer separate; standby0.3W. E=0 requires no uncaptured moisture. Confirm installed equipment and conditions; no engineering approval implied. G/H retain the earlier reference.</t>
  </si>
  <si>
    <t>Published operating power rating</t>
  </si>
  <si>
    <t>Conditional rated-input estimate; source does not define listening volume or guarantee a maximum. Receiver AND passive speakers must be in this room. Do not add the2×30W audio output again. Active subwoofer separate; standby0.3W. Previous reference/model context (not current D): Chosen within legacy 70–400 W input range; not audio output rating.</t>
  </si>
  <si>
    <t>Denon D-M41 information sheet, p2:70W consumption</t>
  </si>
  <si>
    <t>https://www.denon.com/on/demandware.static/-/Library-Sites-denon_europe_shared/default/dw520f86d3/downloads/d-m41-info-sheet-en.pdf</t>
  </si>
  <si>
    <t>Denon D-M41 / RCD-M41, 230 V, with passive speakers</t>
  </si>
  <si>
    <t>DVD player</t>
  </si>
  <si>
    <t>Source-linked example: DVD player; verify its specification using the source link in L. Playing. Legacy 20–25 W sample; excludes TV. Zero latent requires no uncaptured moisture. Match room allocation and duty; count once.</t>
  </si>
  <si>
    <t>Playing</t>
  </si>
  <si>
    <t>Legacy 20–25 W sample; excludes TV.</t>
  </si>
  <si>
    <t>Virginia Cooperative Extension 2901-9014; legacy US</t>
  </si>
  <si>
    <t>https://www.pubs.ext.vt.edu/2901/2901-9014/2901-9014.html</t>
  </si>
  <si>
    <t>Laundry</t>
  </si>
  <si>
    <t>Clothes iron — dry mode</t>
  </si>
  <si>
    <t>Philips GC185/86 dry iron. Upper sensible energy-input allowance while heater is on, not usual hourly heat. Multiply by measured heater-on fraction, not just attendance. Applies only to dry fabric, no spray/steam, and heat retained in room; thermal storage delays the cooling load. Wet fabric or removed hot laundry requires a separate balance. E=0 requires no uncaptured moisture. Confirm installed equipment and conditions; no engineering approval implied. G/H retain the earlier reference.</t>
  </si>
  <si>
    <t>Heater energised; dry fabric, no steam</t>
  </si>
  <si>
    <t>Upper sensible energy-input allowance while heater is on, not usual hourly heat. Multiply by measured heater-on fraction, not just attendance. Applies only to dry fabric, no spray/steam, and heat retained in room; thermal storage delays the cooling load. Wet fabric or removed hot laundry requires a separate balance. Previous reference/model context (not current D): Chosen within legacy 1000–1800 W range; cycling and heat stored in fabric affect room load.</t>
  </si>
  <si>
    <t>Philips GC185/86 product leaflet,1200W rating</t>
  </si>
  <si>
    <t>https://www.documents.philips.com/assets/20210505/a5f1f042d0e44011a14ead1f005fa901.pdf</t>
  </si>
  <si>
    <t>Laundry / hospitality</t>
  </si>
  <si>
    <t>Philips GC185/86 dry iron</t>
  </si>
  <si>
    <t>Personal care</t>
  </si>
  <si>
    <t>Hair dryer</t>
  </si>
  <si>
    <t>BLOCKED — heat/moisture balance</t>
  </si>
  <si>
    <t>NUMERIC EXAMPLE: 1600 W (1.6 kW); EXISTING REFERENCE — scope/state limits apply.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t>
  </si>
  <si>
    <t>Rated electrical power only — sensible/latent unresolved</t>
  </si>
  <si>
    <t>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t>
  </si>
  <si>
    <t>Dyson Supersonic HD01 user manual — 200–240 V, 50 Hz, 1600 W</t>
  </si>
  <si>
    <t>https://support.dyson.com.au/medialibrary/Files/Dyson/Support/downloads/EU/HairCare/HD01_Supersonic_Manual.ashx</t>
  </si>
  <si>
    <t>Manufacturer electrical rating — not resolved room heat</t>
  </si>
  <si>
    <t>Dyson Supersonic HD01; reference model only</t>
  </si>
  <si>
    <t>Rated electrical input; wet-hair process unresolved</t>
  </si>
  <si>
    <t>Rated electrical power only — sensible/latent unresolved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 This retains the original reference, including any unresolved source limitations; it is not newly validated net room heat. REQUIRED: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t>
  </si>
  <si>
    <t>High-performance gaming PC</t>
  </si>
  <si>
    <t>PRELIMINARY ASSUMPTION ONLY</t>
  </si>
  <si>
    <t>NUMERIC EXAMPLE: 725 W (0.725 kW); PRELIMINARY — existing selected allowance.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</si>
  <si>
    <t>Midpoint of HP estimated 650–800 W intensive-load range</t>
  </si>
  <si>
    <t>725 W is calculated midpoint, not measured average. HP article also gives other ranges; selected configuration only. Wall-power basis/PSU losses need verification; monitors separate. Not an engineering default.</t>
  </si>
  <si>
    <t>HP OMEN 45L i9 / RTX 4090 manufacturer illustrative estimate — source below</t>
  </si>
  <si>
    <t>https://www.hp.com/us-en/tech-takes/gaming/tools/omen-desktop-power-draw-guide-calculator.html</t>
  </si>
  <si>
    <t>Reference example — project review required</t>
  </si>
  <si>
    <t>HP OMEN 45L i9 / RTX 4090 manufacturer illustrative estimate (reference, not installed-model confirmation)</t>
  </si>
  <si>
    <t>Calculated/conditional heat estimate; checked 2026-10-14</t>
  </si>
  <si>
    <t>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</si>
  <si>
    <t>PRELIMINARY — existing selected allowance</t>
  </si>
  <si>
    <t>Midpoint of HP estimated 650–800 W intensive-load range 725 W is calculated midpoint, not measured average. HP article also gives other ranges; selected configuration only. Wall-power basis/PSU losses need verification; monitors separate. Not an engineering default. This retains the original reference, including any unresolved source limitations; it is not newly validated net room heat. REQUIRED: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</si>
  <si>
    <t>Small form-factor office PC</t>
  </si>
  <si>
    <t>Mac mini 2024 M4, 16GB/256GB; Compute-intensive maximum. Specific small-form computer example; not a generic Windows fleet average. Includes supply losses; display separate. Same equipment as small efficient PC row: count once. D is sensible heat estimate; E=0 assumes no moisture released. Confirm model, duty and room allocation before use. Original reference G/H is retained, not the new calculation input.</t>
  </si>
  <si>
    <t>Specific small-form computer example; not a generic Windows fleet average. Includes supply losses; display separate. Same equipment as small efficient PC row: count once. Previous reference context: 100 W office-use allowance; form factor alone does not determine draw. 100 W selected as a preliminary office-use assumption within the published sample range; not a measured average.</t>
  </si>
  <si>
    <t>Mini PC / thin client</t>
  </si>
  <si>
    <t>Mac mini 2020 M1,16GB/2TB; CPU-intensive maximum. Mini-PC option only; does not establish thin-client consumption. Includes supply losses; peripherals separate. D is sensible heat estimate; E=0 assumes no moisture released. Confirm model, duty and room allocation before use. Original reference G/H is retained, not the new calculation input.</t>
  </si>
  <si>
    <t>CPU-intensive maximum</t>
  </si>
  <si>
    <t>Mini-PC option only; does not establish thin-client consumption. Includes supply losses; peripherals separate. Previous reference context: Mini-PC example only; do not assume thin clients match. 50 W selected as an active-use estimate. Source measures a particular mini PC maximum, not a fleet average.</t>
  </si>
  <si>
    <t>Mac mini 2020 M1,16GB/2TB</t>
  </si>
  <si>
    <t>CAD / 3D graphics workstation</t>
  </si>
  <si>
    <t>Mac Studio2025 M3 Ultra32CPU/80GPU,512GB/16TB; Compute-intensive maximum. Specific workstation example at20.2°C, not all CAD software/hardware. Includes supply losses; peripherals separate. D is sensible heat estimate; E=0 assumes no moisture released. Confirm model, duty and room allocation before use. Original reference G/H is retained, not the new calculation input.</t>
  </si>
  <si>
    <t>Specific workstation example at20.2°C, not all CAD software/hardware. Includes supply losses; peripherals separate. Previous reference context: Specific workstation example, not every CAD configuration. Representative tested maximum; model-specific</t>
  </si>
  <si>
    <t>Apple Mac Studio power/thermal table</t>
  </si>
  <si>
    <t>Mac Studio2025 M3 Ultra32CPU/80GPU,512GB/16TB</t>
  </si>
  <si>
    <t>Engineering workstation — dual CPU/GPU</t>
  </si>
  <si>
    <t>BLOCKED — missing heat data</t>
  </si>
  <si>
    <t>NUMERIC EXAMPLE: 1080 W (1.08 kW); EXISTING REFERENCE — scope/state limits apply.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t>
  </si>
  <si>
    <t>Autodesk tabulated high-load/startup planning example</t>
  </si>
  <si>
    <t>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t>
  </si>
  <si>
    <t>HP Z840 dual-GPU with add-on cards, Autodesk qualified configuration — source below</t>
  </si>
  <si>
    <t>https://help.autodesk.com/cloudhelp/2023/ENU/FLAME-install-certified-hardware/files/HP-Z840/Preparing-the-Work-Environment/FLAME_install_certified_hardware_HP_Z840_Preparing_the_Work_Environment_Power_and_Air_Conditioning_html.html</t>
  </si>
  <si>
    <t>Electrical data sourced — room heat unresolved</t>
  </si>
  <si>
    <t>Not separately specified</t>
  </si>
  <si>
    <t>HP Z840 dual-GPU with add-on cards, Autodesk qualified configuration (reference, not installed-model confirmation)</t>
  </si>
  <si>
    <t>Autodesk tabulated high-load/startup planning example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 This retains the original reference, including any unresolved source limitations; it is not newly validated net room heat. REQUIRED: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t>
  </si>
  <si>
    <t>Laptop docking station</t>
  </si>
  <si>
    <t>Match Eaton Tripp Lite U342-DHG-402 (reference, not installed-model confirmation). Published consumption; non-charging dock. Dock only; USB power drawn through host must not be counted again if host wall power already includes it. Zero latent requires no uncaptured moisture. Match room allocation and duty; count once.</t>
  </si>
  <si>
    <t>Published consumption; non-charging dock</t>
  </si>
  <si>
    <t>Dock only; USB power drawn through host must not be counted again if host wall power already includes it.</t>
  </si>
  <si>
    <t>Eaton Tripp Lite U342-DHG-402 — source below</t>
  </si>
  <si>
    <t>https://www.eaton.com/us/en-us/skuPage.U342-DHG-402.html</t>
  </si>
  <si>
    <t>Eaton Tripp Lite U342-DHG-402 (reference, not installed-model confirmation)</t>
  </si>
  <si>
    <t>Laptop charging station — multiple devices</t>
  </si>
  <si>
    <t>CONDITIONAL — no-load only</t>
  </si>
  <si>
    <t>0.50 W sensible ONLY for ten Apple 67 W USB-C adapters with 2 m MagSafe 3 cables at 230 V, connected to mains but NO laptops connected (10 × 0.05 W). This defined example assumes no powered controller, illuminated strip, fan or other station electronics. Zero latent assumes no moisture source. NOT active charging: battery energy storage and laptop operating heat require separate treatment. Replace ten with actual quantity; do not count adapters twice.</t>
  </si>
  <si>
    <t>No-load standby only; 10 adapters connected to 230 VAC</t>
  </si>
  <si>
    <t>Apple 14-inch MacBook Pro environmental report Jan2023, p10, 230 V no-load adapter row</t>
  </si>
  <si>
    <t>https://www.apple.com/environment/pdf/products/notebooks/14-inch_MacBook_Pro_PER_Jan2023.pdf</t>
  </si>
  <si>
    <t>Sourced components; illustrative configuration — project review required</t>
  </si>
  <si>
    <t>Defined idle charging station: 10 Apple 67 W USB-C adapters with cables, no laptops</t>
  </si>
  <si>
    <t>Reviewed 19 Oct 2026; assumptions explicit; no engineering approval asserted</t>
  </si>
  <si>
    <t>24-inch LED monitor</t>
  </si>
  <si>
    <t>Match Reference: Dell P2425H; installed model unconfirmed. Screen on. D uses 11.7 W from the stated source figure/range endpoint; original reference retained in G. 11.7 W rounded; Dell P2425H example. Add peripherals separately. Zero latent requires no uncaptured moisture. Match room allocation and duty; count once.</t>
  </si>
  <si>
    <t>Screen on</t>
  </si>
  <si>
    <t>11.7 W rounded; Dell P2425H example. Add peripherals separately.</t>
  </si>
  <si>
    <t>https://www.dell.com/en-us/shop/dell-pro-24-plus-monitor-p2425h/apd/210-bmgh/monitors-monitor-accessories?tfcid=91049735</t>
  </si>
  <si>
    <t>Model/sample example — review</t>
  </si>
  <si>
    <t>Reference: Dell P2425H; installed model unconfirmed</t>
  </si>
  <si>
    <t>27-inch LED monitor</t>
  </si>
  <si>
    <t>Match Reference: Dell P2725H; installed model unconfirmed. Screen on. D uses 15.8 W from the stated source figure/range endpoint; original reference retained in G. 15.8 W rounded; example without charging external devices. Zero latent requires no uncaptured moisture. Match room allocation and duty; count once.</t>
  </si>
  <si>
    <t>15.8 W rounded; example without charging external devices.</t>
  </si>
  <si>
    <t>Dell P2725H</t>
  </si>
  <si>
    <t>https://www.dell.com/en-nz/shop/dell-27-monitor-p2725h/apd/210-bmjz/monitors-monitor-accessories</t>
  </si>
  <si>
    <t>Reference: Dell P2725H; installed model unconfirmed</t>
  </si>
  <si>
    <t>32-inch large monitor</t>
  </si>
  <si>
    <t>Match Dell UltraSharp U3223QE (example; not installed-model confirmation). Published on-mode consumption. Display example; do not count laptop USB-C charging as monitor heat. Brightness and peripherals affect actual use. Heat estimate assumes input energy is ultimately retained as sensible heat in the zone; no intentional moisture source. Zero latent requires no uncaptured moisture. Match room allocation and duty; count once.</t>
  </si>
  <si>
    <t>Published on-mode consumption</t>
  </si>
  <si>
    <t>Display example; do not count laptop USB-C charging as monitor heat. Brightness and peripherals affect actual use. Heat estimate assumes input energy is ultimately retained as sensible heat in the zone; no intentional moisture source.</t>
  </si>
  <si>
    <t>Dell UltraSharp U3223QE — manufacturer specification</t>
  </si>
  <si>
    <t>https://www.dell.com/en-gb/shop/dell-ultrasharp-32-4k-usb-c-hub-monitor-u3223qe/apd/210-bcyo/monitors-monitor-accessories</t>
  </si>
  <si>
    <t>Sourced example — project review required</t>
  </si>
  <si>
    <t>Dell UltraSharp U3223QE (example; not installed-model confirmation)</t>
  </si>
  <si>
    <t>Manufacturer power; conditional heat inference; checked 2026-10-14</t>
  </si>
  <si>
    <t>34-inch ultrawide monitor</t>
  </si>
  <si>
    <t>Match Reference: Dell P3424WE; installed model unconfirmed. Screen on. D uses 31.7 W from the stated source figure/range endpoint; original reference retained in G. 31.7 W rounded; excludes exported USB-C charging power. Zero latent requires no uncaptured moisture. Match room allocation and duty; count once.</t>
  </si>
  <si>
    <t>31.7 W rounded; excludes exported USB-C charging power.</t>
  </si>
  <si>
    <t>Dell P3424WE</t>
  </si>
  <si>
    <t>https://www.dell.com/en-us/shop/dell-34-curved-usb-c-hub-monitor-p3424we/apd/210-bgzq/monitors-monitor-accessories</t>
  </si>
  <si>
    <t>Reference: Dell P3424WE; installed model unconfirmed</t>
  </si>
  <si>
    <t>Dual-monitor workstation — additional load</t>
  </si>
  <si>
    <t>Match Reference: Two Dell P2425H examples; installed model unconfirmed. Two 24-inch screens on. D uses 23.4 W from the stated source figure/range endpoint; original reference retained in G. 2 × 11.7 W rounded. Screens only: do not add again if counted individually. Zero latent requires no uncaptured moisture. Match room allocation and duty; count once.</t>
  </si>
  <si>
    <t>Two 24-inch screens on</t>
  </si>
  <si>
    <t>2 × 11.7 W rounded. Screens only: do not add again if counted individually.</t>
  </si>
  <si>
    <t>Two Dell P2425H examples</t>
  </si>
  <si>
    <t>Reference: Two Dell P2425H examples; installed model unconfirmed</t>
  </si>
  <si>
    <t>55-inch commercial display</t>
  </si>
  <si>
    <t>Match Reference: Samsung QMC 55; installed model unconfirmed. Published on-mode allowance. Samsung QMC model example; actual brightness/content changes draw. Zero latent requires no uncaptured moisture. Match room allocation and duty; count once.</t>
  </si>
  <si>
    <t>Published on-mode allowance</t>
  </si>
  <si>
    <t>Samsung QMC model example; actual brightness/content changes draw.</t>
  </si>
  <si>
    <t>Samsung QMC 55</t>
  </si>
  <si>
    <t>https://www.samsung.com/nz/business/smart-signage/uhd-4k-signage/crystal-uhd-signage-qmc-lh55qmcebgcxxy/</t>
  </si>
  <si>
    <t>Reference: Samsung QMC 55; installed model unconfirmed</t>
  </si>
  <si>
    <t>75-inch commercial display</t>
  </si>
  <si>
    <t>Match Reference: Samsung QMC 75; installed model unconfirmed. Published on-mode allowance. 214.5 W rounded; not a universal typical display load. Zero latent requires no uncaptured moisture. Match room allocation and duty; count once.</t>
  </si>
  <si>
    <t>214.5 W rounded; not a universal typical display load.</t>
  </si>
  <si>
    <t>Samsung QMC 75</t>
  </si>
  <si>
    <t>https://www.samsung.com/my/smart-signage/uhd-4k-signage/crystal-uhd-signage-qmc-75-inch-lh75qmcebgcxxs/</t>
  </si>
  <si>
    <t>Reference: Samsung QMC 75; installed model unconfirmed</t>
  </si>
  <si>
    <t>Interactive flat-panel display</t>
  </si>
  <si>
    <t>Match BenQ RM6503 65-inch (example; not installed-model confirmation). Manufacturer typical consumption. Same example used for synonymous types; count once. Excludes separately powered OPS PC and exported USB charging. Heat inference: real input becomes sensible heat if retained in this zone; no intentional moisture source. Zero latent requires no uncaptured moisture. Match room allocation and duty; count once.</t>
  </si>
  <si>
    <t>Manufacturer typical consumption</t>
  </si>
  <si>
    <t>Same example used for synonymous types; count once. Excludes separately powered OPS PC and exported USB charging. Heat inference: real input becomes sensible heat if retained in this zone; no intentional moisture source.</t>
  </si>
  <si>
    <t>BenQ RM6503 65-inch — manufacturer specification</t>
  </si>
  <si>
    <t>https://www.benq.com/id-id/business/ifp/rm6503/specifications.html</t>
  </si>
  <si>
    <t>BenQ RM6503 65-inch (example; not installed-model confirmation)</t>
  </si>
  <si>
    <t>Manufacturer power; conditional heat inference; checked 2026-10-13</t>
  </si>
  <si>
    <t>Digital whiteboard</t>
  </si>
  <si>
    <t>Small network switch — PoE</t>
  </si>
  <si>
    <t>Match Reference: Ubiquiti USW-Lite-8-PoE; installed model unconfirmed. Switch-only maximum allowance. Excludes 52 W PoE output budget and external adapter losses; count endpoint heat once. Zero latent requires no uncaptured moisture. Match room allocation and duty; count once.</t>
  </si>
  <si>
    <t>Switch-only maximum allowance</t>
  </si>
  <si>
    <t>Excludes 52 W PoE output budget and external adapter losses; count endpoint heat once.</t>
  </si>
  <si>
    <t>Ubiquiti USW-Lite-8-PoE</t>
  </si>
  <si>
    <t>https://dl.ui.com/ds/usw-lite-8-poe.pdf</t>
  </si>
  <si>
    <t>Supplier — subtract delivered power</t>
  </si>
  <si>
    <t>Reference: Ubiquiti USW-Lite-8-PoE; installed model unconfirmed</t>
  </si>
  <si>
    <t>48-port network switch — PoE</t>
  </si>
  <si>
    <t>Match Ubiquiti USW-48-PoE (example; not installed-model confirmation). Maximum consumption excluding PoE output. Datasheet page 7. 195 W PoE delivery budget excluded; allocate powered endpoints to their rooms and count once. Heat estimate assumes input energy is ultimately retained as sensible heat in the zone; no intentional moisture source. Zero latent requires no uncaptured moisture. Match room allocation and duty; count once.</t>
  </si>
  <si>
    <t>Maximum consumption excluding PoE output</t>
  </si>
  <si>
    <t>Datasheet page 7. 195 W PoE delivery budget excluded; allocate powered endpoints to their rooms and count once. Heat estimate assumes input energy is ultimately retained as sensible heat in the zone; no intentional moisture source.</t>
  </si>
  <si>
    <t>Ubiquiti USW-48-PoE — manufacturer specification</t>
  </si>
  <si>
    <t>https://dl.ui.com/ds/usw_poe_ds.pdf</t>
  </si>
  <si>
    <t>Ubiquiti USW-48-PoE (example; not installed-model confirmation)</t>
  </si>
  <si>
    <t>Network router / gateway</t>
  </si>
  <si>
    <t>Match MikroTik hEX (2016 datasheet) (example; not installed-model confirmation). Maximum device consumption. Specific historic hEX model; verify revision. External supply losses, if excluded by rating, require separate allowance. Heat estimate assumes input energy is ultimately retained as sensible heat in the zone; no intentional moisture source. Zero latent requires no uncaptured moisture. Match room allocation and duty; count once.</t>
  </si>
  <si>
    <t>Maximum device consumption</t>
  </si>
  <si>
    <t>Specific historic hEX model; verify revision. External supply losses, if excluded by rating, require separate allowance. Heat estimate assumes input energy is ultimately retained as sensible heat in the zone; no intentional moisture source.</t>
  </si>
  <si>
    <t>MikroTik hEX (2016 datasheet) — manufacturer specification</t>
  </si>
  <si>
    <t>https://cdn.mikrotik.com/web-assets/product_files/hEX_161115.pdf</t>
  </si>
  <si>
    <t>Model-dependent — verify</t>
  </si>
  <si>
    <t>MikroTik hEX (2016 datasheet) (example; not installed-model confirmation)</t>
  </si>
  <si>
    <t>Small network rack — active equipment</t>
  </si>
  <si>
    <t>CONDITIONAL — exact example only</t>
  </si>
  <si>
    <t>80.51 W sensible ONLY for one USW-48-PoE (45 W maximum excluding PoE output) plus one DS923+ (35.51 W access-mode reference), with all PSU/device heat in this room. Defined two-device example, NOT a generic rack allowance or guaranteed coincident peak. Confirm NAS drives/workload; no expansion unit. Add any router, UPS/PDU losses and external rack fans separately. Allocate PoE endpoint heat to its actual room; do not count these two devices again. Zero latent assumes no moisture source.</t>
  </si>
  <si>
    <t>Defined example only: switch maximum excluding PoE + NAS access mode</t>
  </si>
  <si>
    <t>Ubiquiti USW datasheet p7 + Synology DS923+ specifications (Access)</t>
  </si>
  <si>
    <t>https://dl.ui.com/ds/usw_poe_ds.pdf
https://www.synology.com/en-eu/store/Refurbished%20DS923%2B</t>
  </si>
  <si>
    <t>Illustrative rack: 1 Ubiquiti USW-48-PoE plus 1 Synology DS923+; no UPS</t>
  </si>
  <si>
    <t>Aggregate / configured IT</t>
  </si>
  <si>
    <t>Idle/normal/peak measured workload; configured components</t>
  </si>
  <si>
    <t>NAS / small file server</t>
  </si>
  <si>
    <t>Match Synology DS923+ (example; not installed-model confirmation). Access; manufacturer test configuration. Drives/configuration change power; not PSU capacity. Heat inference: real input becomes sensible heat if retained in this zone; no intentional moisture source. Zero latent requires no uncaptured moisture. Match room allocation and duty; count once.</t>
  </si>
  <si>
    <t>Access; manufacturer test configuration</t>
  </si>
  <si>
    <t>Drives/configuration change power; not PSU capacity. Heat inference: real input becomes sensible heat if retained in this zone; no intentional moisture source.</t>
  </si>
  <si>
    <t>Synology DS923+ — manufacturer specification</t>
  </si>
  <si>
    <t>https://www.synology.com/en-uk/store/Refurbished%20DS923%2B</t>
  </si>
  <si>
    <t>Synology DS923+ (example; not installed-model confirmation)</t>
  </si>
  <si>
    <t>Rack-mounted server</t>
  </si>
  <si>
    <t>Match Lenovo ThinkSystem SR250 (reference, not installed-model confirmation). Manufacturer maximum-configuration heat output. Minimum-configuration example 84.25 W. Match CPU, storage and utilization; do not use PSU capacity as heat. Zero latent requires no uncaptured moisture. Match room allocation and duty; count once.</t>
  </si>
  <si>
    <t>Manufacturer maximum-configuration heat output</t>
  </si>
  <si>
    <t>Minimum-configuration example 84.25 W. Match CPU, storage and utilization; do not use PSU capacity as heat.</t>
  </si>
  <si>
    <t>Lenovo ThinkSystem SR250 — source below</t>
  </si>
  <si>
    <t>https://pubs.lenovo.com/sr250/server_specifications</t>
  </si>
  <si>
    <t>Not specified</t>
  </si>
  <si>
    <t>Lenovo ThinkSystem SR250 (reference, not installed-model confirmation)</t>
  </si>
  <si>
    <t>Published heat-gain example; checked 2026-10-14</t>
  </si>
  <si>
    <t>Server rack — multiple servers</t>
  </si>
  <si>
    <t>917.96 W sensible ONLY for a defined set of four Lenovo SR250 servers at published maximum-configuration approximate heat output (4 × 229.49 W). Four is an illustrative count, not a typical surveyed rack. Require matching supported configuration and all air-cooled heat retained in room; not a liquid-cooled arrangement. Add networking, storage, UPS/PDU losses and external fans if present, once only. Do not multiply by four again when entering one example rack. Zero latent assumes no moisture source.</t>
  </si>
  <si>
    <t>Defined 4-server example at manufacturer maximum-configuration heat output</t>
  </si>
  <si>
    <t>Illustrative rack containing 4 Lenovo ThinkSystem SR250 servers only — source below</t>
  </si>
  <si>
    <t>Illustrative rack containing 4 Lenovo ThinkSystem SR250 servers only</t>
  </si>
  <si>
    <t>Telecommunications equipment rack</t>
  </si>
  <si>
    <t>USER-REQUESTED HYPOTHETICAL EXAMPLE: 1000 W (1 kW). Illustrative rack: assumed 1,000 W real consumption, no RF/PoE/DC export, batteries or remote cooling; all energy dissipates in room. Assumed for illustration, not sourced or project-approved. Sensible/latent split unverified. No single defensible watts-per-rack value without the equipment list. Obtain router/switch/radio models, quantities, traffic state, rectifier losses, battery charging and cooling location. Sum manufacturer heat dissipation, or measured real input minus power exported by RF/PoE/DC and stored in batteries, allocated to this room. Avoid subtracting RF twice if manufacturer heat already excludes it. Rack dimensions and PSU capacity are not heat values. D/E remain blank.</t>
  </si>
  <si>
    <t>Room heat unresolved</t>
  </si>
  <si>
    <t>Research outcome — model/configuration needed</t>
  </si>
  <si>
    <t>No single defensible watts-per-rack value without the equipment list. Obtain router/switch/radio models, quantities, traffic state, rectifier losses, battery charging and cooling location. Sum manufacturer heat dissipation, or measured real input minus power exported by RF/PoE/DC and stored in batteries, allocated to this room. Avoid subtracting RF twice if manufacturer heat already excludes it. Rack dimensions and PSU capacity are not heat values. D/E remain blank.</t>
  </si>
  <si>
    <t>No installed model specified — Telecommunications equipment rack — see source</t>
  </si>
  <si>
    <t>https://www.ibm.com/support/pages/rack-configuration-netfinity-4000r</t>
  </si>
  <si>
    <t>Research reviewed — project data required</t>
  </si>
  <si>
    <t>No installed model specified — Telecommunications equipment rack</t>
  </si>
  <si>
    <t>HYPOTHETICAL — unsourced scenario; not typical</t>
  </si>
  <si>
    <t>Illustrative rack: assumed 1,000 W real consumption, no RF/PoE/DC export, batteries or remote cooling; all energy dissipates in room. REQUIRED: No single defensible watts-per-rack value without the equipment list. Obtain router/switch/radio models, quantities, traffic state, rectifier losses, battery charging and cooling location. Sum manufacturer heat dissipation, or measured real input minus power exported by RF/PoE/DC and stored in batteries, allocated to this room. Avoid subtracting RF twice if manufacturer heat already excludes it. Rack dimensions and PSU capacity are not heat values. D/E remain blank.</t>
  </si>
  <si>
    <t>Desktop UPS — typical load</t>
  </si>
  <si>
    <t>Match APC Smart-UPS SMT1500I (reference, not installed-model confirmation). Published online thermal dissipation 135 BTU/h / 3.41214. Manufacturer specification hosted by distributor; 39.57 W UPS loss only. Sheet does not establish user's typical loading. Do not count UPS output as loss. Zero latent requires no uncaptured moisture. Match room allocation and duty; count once.</t>
  </si>
  <si>
    <t>Published online thermal dissipation 135 BTU/h / 3.41214</t>
  </si>
  <si>
    <t>Manufacturer specification hosted by distributor; 39.57 W UPS loss only. Sheet does not establish user's typical loading. Do not count UPS output as loss.</t>
  </si>
  <si>
    <t>APC Smart-UPS SMT1500I — source below</t>
  </si>
  <si>
    <t>https://media.distrelec.com/Web/Downloads/_t/ds/SMT1500I_eng_tds.pdf</t>
  </si>
  <si>
    <t>APC Smart-UPS SMT1500I (reference, not installed-model confirmation)</t>
  </si>
  <si>
    <t>Network rack UPS — losses only</t>
  </si>
  <si>
    <t>Match APC SMT1500RM2UNC (example; not installed-model confirmation). Published online thermal dissipation; load point unspecified. 90 BTU/h × 0.293071 = 26.38 W. 120 V regional model, 2019 datasheet. UPS losses only; connected equipment heat counted separately. Confirm load-dependent losses and local model. Zero latent requires no uncaptured moisture. Match room allocation and duty; count once.</t>
  </si>
  <si>
    <t>Published online thermal dissipation; load point unspecified</t>
  </si>
  <si>
    <t>90 BTU/h × 0.293071 = 26.38 W. 120 V regional model, 2019 datasheet. UPS losses only; connected equipment heat counted separately. Confirm load-dependent losses and local model.</t>
  </si>
  <si>
    <t>APC SMT1500RM2UNC — manufacturer specification</t>
  </si>
  <si>
    <t>https://iportal.se.com/Contents/docs/UPS-SMT1500RM2UNC_DATA%20SHEET.PDF</t>
  </si>
  <si>
    <t>APC SMT1500RM2UNC (example; not installed-model confirmation)</t>
  </si>
  <si>
    <t>Manufacturer thermal dissipation; checked 2026-10-14</t>
  </si>
  <si>
    <t>PoE injector</t>
  </si>
  <si>
    <t>Match Ubiquiti POE-48-24W (reference, not installed-model confirmation). Calculated upper loss example at 24 W output and 80% efficiency. 24/0.80 − 24 = 6 W loss; manufacturer specifies efficiency 80+%. Not measured typical. Output 24 W belongs to powered endpoint, not injector room. Zero latent requires no uncaptured moisture. Match room allocation and duty; count once.</t>
  </si>
  <si>
    <t>Calculated upper loss example at 24 W output and 80% efficiency</t>
  </si>
  <si>
    <t>24/0.80 − 24 = 6 W loss; manufacturer specifies efficiency 80+%. Not measured typical. Output 24 W belongs to powered endpoint, not injector room.</t>
  </si>
  <si>
    <t>Ubiquiti POE-48-24W — source below</t>
  </si>
  <si>
    <t>https://in.store.ui.com/in/en/products/poe-48-24w</t>
  </si>
  <si>
    <t>Ubiquiti POE-48-24W (reference, not installed-model confirmation)</t>
  </si>
  <si>
    <t>Fibre-optic network terminal</t>
  </si>
  <si>
    <t>Match Ubiquiti UF-LOCO (reference, not installed-model confirmation). Published consumption. ONT only; external power supply losses separate if not included. Zero latent requires no uncaptured moisture. Match room allocation and duty; count once.</t>
  </si>
  <si>
    <t>Published consumption</t>
  </si>
  <si>
    <t>ONT only; external power supply losses separate if not included.</t>
  </si>
  <si>
    <t>Ubiquiti UF-LOCO — source below</t>
  </si>
  <si>
    <t>https://dl.ui.com/qsg/UF-LOCO/UF-LOCO_EN.html</t>
  </si>
  <si>
    <t>Ubiquiti UF-LOCO (reference, not installed-model confirmation)</t>
  </si>
  <si>
    <t>Inkjet printer — desktop</t>
  </si>
  <si>
    <t>Match Epson EcoTank ET-4850 (example; not installed-model confirmation). Standalone copying; USB connection; ISO/IEC 24712. Ready 5.4 W; sleep 1 W. Active figure is not an hourly average. Heat estimate assumes input energy is ultimately retained as sensible heat in the zone; no intentional moisture source. Zero latent requires no uncaptured moisture. Match room allocation and duty; count once.</t>
  </si>
  <si>
    <t>Standalone copying; USB connection; ISO/IEC 24712</t>
  </si>
  <si>
    <t>Ready 5.4 W; sleep 1 W. Active figure is not an hourly average. Heat estimate assumes input energy is ultimately retained as sensible heat in the zone; no intentional moisture source.</t>
  </si>
  <si>
    <t>Epson EcoTank ET-4850 — manufacturer specification</t>
  </si>
  <si>
    <t>https://files.support.epson.com/docid/cpd6/cpd60205/source/specifications/references/et4850/spex_electrical_spc_et4850.html</t>
  </si>
  <si>
    <t>Epson EcoTank ET-4850 (example; not installed-model confirmation)</t>
  </si>
  <si>
    <t>High-speed laser printer — floor-standing</t>
  </si>
  <si>
    <t>Match Kyocera TASKalfa 7004i, UK/EU variant (reference, not installed-model confirmation). Printing/copying; 70 ppm. Ready 40 W; sleep 0.5 W. Same physical multifunction machine must not be counted as printer plus copier. Regional specs differ. Zero latent requires no uncaptured moisture. Match room allocation and duty; count once.</t>
  </si>
  <si>
    <t>Printing/copying; 70 ppm</t>
  </si>
  <si>
    <t>Ready 40 W; sleep 0.5 W. Same physical multifunction machine must not be counted as printer plus copier. Regional specs differ.</t>
  </si>
  <si>
    <t>Kyocera TASKalfa 7004i, UK/EU variant — source below</t>
  </si>
  <si>
    <t>https://www.kyoceradocumentsolutions.co.uk/en/products/mfp/TASKALFA7004I.html</t>
  </si>
  <si>
    <t>Kyocera TASKalfa 7004i, UK/EU variant (reference, not installed-model confirmation)</t>
  </si>
  <si>
    <t>Photocopier — high-volume</t>
  </si>
  <si>
    <t>Production printing machine</t>
  </si>
  <si>
    <t>Match Canon varioPRINT140 Quartz. Manufacturer duplex-operation consumption. Approximate eventual room heat if hot paper/print energy remain indoors. Ready270 W; low-power150 W; sleep4.3 W excludes controller. Match finishing modules, throughput and separate controllers. Zero latent requires no uncaptured moisture. Match room allocation and duty; count once.</t>
  </si>
  <si>
    <t>Manufacturer duplex-operation consumption</t>
  </si>
  <si>
    <t>Approximate eventual room heat if hot paper/print energy remain indoors. Ready270 W; low-power150 W; sleep4.3 W excludes controller. Match finishing modules, throughput and separate controllers.</t>
  </si>
  <si>
    <t>Canon varioPRINT140 Quartz — see source</t>
  </si>
  <si>
    <t>https://canon.a.bigcontent.io/v1/static/varioprint-140-series-quartz_datasheet_em_final_forweb_c597fd04df0d4081b311b75a35944ad1</t>
  </si>
  <si>
    <t>Canon varioPRINT140 Quartz</t>
  </si>
  <si>
    <t>Conditional estimate; checked2026-10-16</t>
  </si>
  <si>
    <t>Laminator</t>
  </si>
  <si>
    <t>Match Zebronics ZEB-A3L2 (reference, not installed-model confirmation). Maximum rated consumption, not usual laminating average. Eventual heat if hot laminates remain in room; warm-up and thermostat cycling reduce average. Zero latent requires no uncaptured moisture. Match room allocation and duty; count once.</t>
  </si>
  <si>
    <t>Maximum rated consumption, not usual laminating average</t>
  </si>
  <si>
    <t>Eventual heat if hot laminates remain in room; warm-up and thermostat cycling reduce average.</t>
  </si>
  <si>
    <t>Zebronics ZEB-A3L2 — source below</t>
  </si>
  <si>
    <t>https://zebronics.com/products/zeb-a3l2</t>
  </si>
  <si>
    <t>Zebronics ZEB-A3L2 (reference, not installed-model confirmation)</t>
  </si>
  <si>
    <t>Binding machine — electric</t>
  </si>
  <si>
    <t>Source-linked example: Binding machine — electric; verify its specification using the source link in L. Historic sample: 15-minute peak. Thermal-binding example only; mechanical punches differ. Sample-specific estimate; verify selected model and duty. Zero latent requires no uncaptured moisture. Match room allocation and duty; count once.</t>
  </si>
  <si>
    <t>Thermal-binding example only; mechanical punches differ. Sample-specific estimate; verify selected model and duty.</t>
  </si>
  <si>
    <t>Illustrative analogue — review</t>
  </si>
  <si>
    <t>Paper folding machine</t>
  </si>
  <si>
    <t>Match Duplo DF-999 manufacturer specification (reference, not installed-model confirmation). Rated operation, not time-averaged. Manufacturer datasheet hosted by distributor. 100 W conditional eventual heat with folding work dissipated locally; apply actual operating schedule. Zero latent requires no uncaptured moisture. Match room allocation and duty; count once.</t>
  </si>
  <si>
    <t>Rated operation, not time-averaged</t>
  </si>
  <si>
    <t>Manufacturer datasheet hosted by distributor. 100 W conditional eventual heat with folding work dissipated locally; apply actual operating schedule.</t>
  </si>
  <si>
    <t>Duplo DF-999 manufacturer specification — source below</t>
  </si>
  <si>
    <t>https://www.fingerprintdigital.com/wp-content/uploads/2023/04/Duplo-DF-999.pdf</t>
  </si>
  <si>
    <t>Duplo DF-999 manufacturer specification (reference, not installed-model confirmation)</t>
  </si>
  <si>
    <t>Franking / postage machine</t>
  </si>
  <si>
    <t>Match FP optimail 30. Approximate published operating consumption. Manufacturer operating manual hosted by document CDN. Approximate eventual heat with mechanical work and postage remaining in room; duty varies. Zero latent requires no uncaptured moisture. Match room allocation and duty; count once.</t>
  </si>
  <si>
    <t>Approximate published operating consumption</t>
  </si>
  <si>
    <t>Manufacturer operating manual hosted by document CDN. Approximate eventual heat with mechanical work and postage remaining in room; duty varies.</t>
  </si>
  <si>
    <t>FP optimail 30 — see source</t>
  </si>
  <si>
    <t>https://cdn0.scrivito.com/0b415e9fe7995370c62ceab2d1317f1c/123aaf0b5da97538/5f3cf47cf968/OPTIMAIL-30_BA.pdf</t>
  </si>
  <si>
    <t>FP optimail 30</t>
  </si>
  <si>
    <t>Electric stapler</t>
  </si>
  <si>
    <t>Match ASHRAE 2017 example: Electric stapler, up to 45 sheets (reference, not installed-model confirmation). Table 10; highest measured 15-minute interval. Reference test example, not the installed appliance or a universal typical value. Preserve stated hood/state and confirm duty. Published total retained; rounded components may not sum exactly. Zero latent requires no uncaptured moisture. Match room allocation and duty; count once.</t>
  </si>
  <si>
    <t>Table 10; highest measured 15-minute interval</t>
  </si>
  <si>
    <t>Reference test example, not the installed appliance or a universal typical value. Preserve stated hood/state and confirm duty. Published total retained; rounded components may not sum exactly.</t>
  </si>
  <si>
    <t>ASHRAE 2017 example: Electric stapler, up to 45 sheets — source below</t>
  </si>
  <si>
    <t>ASHRAE 2017 example: Electric stapler, up to 45 sheets (reference, not installed-model confirmation)</t>
  </si>
  <si>
    <t>Document destruction machine — industrial</t>
  </si>
  <si>
    <t>Match HSM Powerline FA 400.2 (reference, not installed-model confirmation). Published operating input, 400 V/50 Hz. Active heavy-duty shredding; approximate eventual sensible gain if motor, paper and drive energy stay in room. Not a standby or diversified average. Zero latent requires no uncaptured moisture. Match room allocation and duty; count once.</t>
  </si>
  <si>
    <t>Published operating input, 400 V/50 Hz</t>
  </si>
  <si>
    <t>Active heavy-duty shredding; approximate eventual sensible gain if motor, paper and drive energy stay in room. Not a standby or diversified average.</t>
  </si>
  <si>
    <t>HSM Powerline FA 400.2 — source below</t>
  </si>
  <si>
    <t>https://hsm.eu/media/pdf/23/4c/bc/EN_HSM_Powerline_product-overview_view.pdf</t>
  </si>
  <si>
    <t>HSM Powerline FA 400.2 (reference, not installed-model confirmation)</t>
  </si>
  <si>
    <t>Meeting-room video conferencing system</t>
  </si>
  <si>
    <t>Match Cisco Room Kit EQX (example; not installed-model confirmation). In call, excluding displays. Kit aggregate; do not also count its codec, camera and audio. Heat inference: real input becomes sensible heat if retained in this zone; no intentional moisture source. Zero latent requires no uncaptured moisture. Match room allocation and duty; count once.</t>
  </si>
  <si>
    <t>In call, excluding displays</t>
  </si>
  <si>
    <t>Kit aggregate; do not also count its codec, camera and audio. Heat inference: real input becomes sensible heat if retained in this zone; no intentional moisture source.</t>
  </si>
  <si>
    <t>Cisco Room Kit EQX — manufacturer specification</t>
  </si>
  <si>
    <t>https://www.cisco.com/c/en/us/products/collateral/collaboration-endpoints/spark-room-kit-series/room-kit-eqx-ds.html</t>
  </si>
  <si>
    <t>Cisco Room Kit EQX (example; not installed-model confirmation)</t>
  </si>
  <si>
    <t>Conference-room speakerphone</t>
  </si>
  <si>
    <t>Match Yealink CP925. Upper published PSU consumption range3.5–11 W. Upper reference rather than typical meeting draw; PoE range4–12 W has a different power boundary. Count injector/switch losses separately and avoid duplicate endpoint power. Zero latent requires no uncaptured moisture. Match room allocation and duty; count once.</t>
  </si>
  <si>
    <t>Upper published PSU consumption range3.5–11 W</t>
  </si>
  <si>
    <t>Upper reference rather than typical meeting draw; PoE range4–12 W has a different power boundary. Count injector/switch losses separately and avoid duplicate endpoint power.</t>
  </si>
  <si>
    <t>Yealink CP925 — see source</t>
  </si>
  <si>
    <t>https://support.yealink.com/docs/cp925/yealink-cp925-datasheet/79de824c275c4a26bd69a5793de2b46c</t>
  </si>
  <si>
    <t>Yealink CP925</t>
  </si>
  <si>
    <t>Wireless presentation system</t>
  </si>
  <si>
    <t>Match Barco ClickShare C-10 (example; not installed-model confirmation). Operational upper end of 5–10 W. Maximum rating is 24 W; endpoint accessories separate. Heat inference: real input becomes sensible heat if retained in this zone; no intentional moisture source. Zero latent requires no uncaptured moisture. Match room allocation and duty; count once.</t>
  </si>
  <si>
    <t>Operational upper end of 5–10 W</t>
  </si>
  <si>
    <t>Maximum rating is 24 W; endpoint accessories separate. Heat inference: real input becomes sensible heat if retained in this zone; no intentional moisture source.</t>
  </si>
  <si>
    <t>Barco ClickShare C-10 — manufacturer specification</t>
  </si>
  <si>
    <t>https://www.barco.com/en/product/clickshare-c-10</t>
  </si>
  <si>
    <t>Barco ClickShare C-10 (example; not installed-model confirmation)</t>
  </si>
  <si>
    <t>Electric sit-stand desk</t>
  </si>
  <si>
    <t>Match LINAK Desk Frame 2. Standby only. 0.1 W standby reference; movement power and duty still required for a full design-hour load. External chargers and desk equipment separate. DO NOT use for active-operation hours. Zero latent requires no uncaptured moisture. Match room allocation and duty; count once.</t>
  </si>
  <si>
    <t>Standby only</t>
  </si>
  <si>
    <t>0.1 W standby reference; movement power and duty still required for a full design-hour load. External chargers and desk equipment separate.</t>
  </si>
  <si>
    <t>LINAK Desk Frame 2 — see source</t>
  </si>
  <si>
    <t>https://cdn.linak.com/-/media/files/data-sheet-source/en/accessory-desk-frame-2-data-sheet-eng.pdf</t>
  </si>
  <si>
    <t>LINAK Desk Frame 2</t>
  </si>
  <si>
    <t>Electronic whiteboard / smartboard</t>
  </si>
  <si>
    <t>Barcode scanner</t>
  </si>
  <si>
    <t>Match Zebra DS2208 (example; not installed-model confirmation). Typical acquisition with aim/illumination. 5 V ×0.25 A, p44; USB power counted once. Heat inference: real input becomes sensible heat if retained in this zone; no intentional moisture source. Zero latent requires no uncaptured moisture. Match room allocation and duty; count once.</t>
  </si>
  <si>
    <t>Typical acquisition with aim/illumination</t>
  </si>
  <si>
    <t>5 V ×0.25 A, p44; USB power counted once. Heat inference: real input becomes sensible heat if retained in this zone; no intentional moisture source.</t>
  </si>
  <si>
    <t>Zebra DS2208 — manufacturer specification</t>
  </si>
  <si>
    <t>https://www.zebra.com/content/dam/support-dam/en/documentation/unrestricted/guide/product/ds2208-prg-en.pdf</t>
  </si>
  <si>
    <t>Zebra DS2208 (example; not installed-model confirmation)</t>
  </si>
  <si>
    <t>Electronic price-label display</t>
  </si>
  <si>
    <t>USER-REQUESTED HYPOTHETICAL EXAMPLE: 0.001 W (0.000001 kW). Illustrative battery label: assumed 3 V × 0.000333 A time-average current ≈0.001 W; update frequency and full-label current are assumptions, not product data. Assumed for illustration, not sourced or project-approved. Sensible/latent split unverified. Need whole-label average input at the actual update frequency: voltage × time-averaged current, or measured joules per update × updates/second plus standby power, without overlapping standby energy. Chip-only or RF transmit-power specifications do not cover the full label. Account for LED activity, temperature and battery state. Count the gateway separately. No numeric heat value established; do not substitute zero for unknown.</t>
  </si>
  <si>
    <t>Need whole-label average input at the actual update frequency: voltage × time-averaged current, or measured joules per update × updates/second plus standby power, without overlapping standby energy. Chip-only or RF transmit-power specifications do not cover the full label. Account for LED activity, temperature and battery state. Count the gateway separately. No numeric heat value established; do not substitute zero for unknown.</t>
  </si>
  <si>
    <t>No installed model specified — Electronic price-label display — see source</t>
  </si>
  <si>
    <t>https://www.manualshelf.com/manual/ses-imagotag/edg1/users-manual-english/page-16.html</t>
  </si>
  <si>
    <t>No installed model specified — Electronic price-label display</t>
  </si>
  <si>
    <t>Illustrative battery label: assumed 3 V × 0.000333 A time-average current ≈0.001 W; update frequency and full-label current are assumptions, not product data. REQUIRED: Need whole-label average input at the actual update frequency: voltage × time-averaged current, or measured joules per update × updates/second plus standby power, without overlapping standby energy. Chip-only or RF transmit-power specifications do not cover the full label. Account for LED activity, temperature and battery state. Count the gateway separately. No numeric heat value established; do not substitute zero for unknown.</t>
  </si>
  <si>
    <t>EFTPOS terminal</t>
  </si>
  <si>
    <t>Match Verifone P400. Calculated DC requirement bound 12 V ×0.5 A. 6 W terminal-side bound; not measured typical. At USB5 V/0.5 A rating2.5 W. External adapter losses additional; avoid host USB double counting. Zero latent requires no uncaptured moisture. Match room allocation and duty; count once.</t>
  </si>
  <si>
    <t>Calculated DC requirement bound 12 V ×0.5 A</t>
  </si>
  <si>
    <t>6 W terminal-side bound; not measured typical. At USB5 V/0.5 A rating2.5 W. External adapter losses additional; avoid host USB double counting.</t>
  </si>
  <si>
    <t>Verifone P400 — see source</t>
  </si>
  <si>
    <t>https://www.verifone.com/hardware-product/verifone-p400</t>
  </si>
  <si>
    <t>Verifone P400</t>
  </si>
  <si>
    <t>Receipt printer</t>
  </si>
  <si>
    <t>Match Epson TM-T88VII (example; not installed-model confirmation). Operating.  Heat inference: real input becomes sensible heat if retained in this zone; no intentional moisture source. Zero latent requires no uncaptured moisture. Match room allocation and duty; count once.</t>
  </si>
  <si>
    <t>Operating</t>
  </si>
  <si>
    <t xml:space="preserve"> Heat inference: real input becomes sensible heat if retained in this zone; no intentional moisture source.</t>
  </si>
  <si>
    <t>Epson TM-T88VII — manufacturer specification</t>
  </si>
  <si>
    <t>https://www.epson.co.nz/products/receipt-printers/receipt-printers/tmt88vii/</t>
  </si>
  <si>
    <t>Epson TM-T88VII (example; not installed-model confirmation)</t>
  </si>
  <si>
    <t>Cash drawer</t>
  </si>
  <si>
    <t>Match APG SMARTtill Hybrid ST2-BL1717-HT. Published 6 W DC requirement; electronic weighing cash drawer. Approximate local sensible gain from published DC requirement. This is an electronic cash-management drawer, not a simple passive drawer. External PSU/PoE losses and brief opening transients are separate; avoid double-counting upstream measured power. Zero latent requires no uncaptured moisture. Match room allocation and duty; count once.</t>
  </si>
  <si>
    <t>Published 6 W DC requirement; electronic weighing cash drawer</t>
  </si>
  <si>
    <t>Approximate local sensible gain from published DC requirement. This is an electronic cash-management drawer, not a simple passive drawer. External PSU/PoE losses and brief opening transients are separate; avoid double-counting upstream measured power.</t>
  </si>
  <si>
    <t>APG SMARTtill Hybrid ST2-BL1717-HT — source below</t>
  </si>
  <si>
    <t>https://www.apgsolutions.com/wp-content/uploads/M-43-341-Rev.-B-SMARTtill-Hybrid_WEB.pdf</t>
  </si>
  <si>
    <t>Approximate reference example — not project approved</t>
  </si>
  <si>
    <t>APG SMARTtill Hybrid ST2-BL1717-HT</t>
  </si>
  <si>
    <t>Source-backed example / stated assumptions; checked 2026-10-16</t>
  </si>
  <si>
    <t>Electronic weighing scale</t>
  </si>
  <si>
    <t>Match Hardy E-Scale 6610 (reference, not installed-model confirmation). Maximum 24 VDC consumption. Scale endpoint only; supply losses additional. Not all retail scales. Zero latent requires no uncaptured moisture. Match room allocation and duty; count once.</t>
  </si>
  <si>
    <t>Maximum 24 VDC consumption</t>
  </si>
  <si>
    <t>Scale endpoint only; supply losses additional. Not all retail scales.</t>
  </si>
  <si>
    <t>Hardy E-Scale 6610 — source below</t>
  </si>
  <si>
    <t>https://www.hardysolutions.com/en/e-scale</t>
  </si>
  <si>
    <t>Hardy E-Scale 6610 (reference, not installed-model confirmation)</t>
  </si>
  <si>
    <t>Queue management display</t>
  </si>
  <si>
    <t>Match QSolutions QS RGB LED single-module display (reference, not installed-model confirmation). Approximate maximum rated consumption. Small queue indicator only, not 43-inch hall display; brightness and design affect consumption. Zero latent requires no uncaptured moisture. Match room allocation and duty; count once.</t>
  </si>
  <si>
    <t>Approximate maximum rated consumption</t>
  </si>
  <si>
    <t>Small queue indicator only, not 43-inch hall display; brightness and design affect consumption.</t>
  </si>
  <si>
    <t>QSolutions QS RGB LED single-module display — source below</t>
  </si>
  <si>
    <t>https://www.queue.solutions/hardware/operator-hall-displays/</t>
  </si>
  <si>
    <t>QSolutions QS RGB LED single-module display (reference, not installed-model confirmation)</t>
  </si>
  <si>
    <t>Digital signage player</t>
  </si>
  <si>
    <t>Match HP MP4 digital signage player (reference, not installed-model confirmation). 230 V idle measurement. Idle example, not active playback peak. HP measured specified OS/RAM configuration; display separate. DO NOT use for active-operation hours. Zero latent requires no uncaptured moisture. Match room allocation and duty; count once.</t>
  </si>
  <si>
    <t>230 V idle measurement</t>
  </si>
  <si>
    <t>Idle example, not active playback peak. HP measured specified OS/RAM configuration; display separate.</t>
  </si>
  <si>
    <t>HP MP4 digital signage player — source below</t>
  </si>
  <si>
    <t>https://support.hp.com/us-en/document/c03682278</t>
  </si>
  <si>
    <t>HP MP4 digital signage player (reference, not installed-model confirmation)</t>
  </si>
  <si>
    <t>Ticket dispenser</t>
  </si>
  <si>
    <t>Match ACE Automatic TD-112 magnetic-stripe parking ticket dispenser. Published electrical rating; conditional eventual room heat. Manufacturer lists 100 W consumption, AC 200 V/50–60 Hz; operating state is not specified. Conditional eventual sensible gain only if unit and all losses are inside the conditioned space. Usually installed outdoors, in which case exclude from indoor load. Historical international example, not an Australian installed-model confirmation or measured usual average. Zero latent requires no uncaptured moisture. Match room allocation and duty; count once.</t>
  </si>
  <si>
    <t>Published electrical rating; conditional eventual room heat</t>
  </si>
  <si>
    <t>Manufacturer lists 100 W consumption, AC 200 V/50–60 Hz; operating state is not specified. Conditional eventual sensible gain only if unit and all losses are inside the conditioned space. Usually installed outdoors, in which case exclude from indoor load. Historical international example, not an Australian installed-model confirmation or measured usual average.</t>
  </si>
  <si>
    <t>ACE Automatic TD-112 magnetic-stripe parking ticket dispenser — see source</t>
  </si>
  <si>
    <t>https://www.aceautomatic.com/carpark/TD-112.html</t>
  </si>
  <si>
    <t>ACE Automatic TD-112 magnetic-stripe parking ticket dispenser</t>
  </si>
  <si>
    <t>Conditional heat estimate; checked 2026-10-16</t>
  </si>
  <si>
    <t>LED panel — 600 × 600 mm</t>
  </si>
  <si>
    <t>Match Philips CoreLine gen6 910505102817 (example; not installed-model confirmation). Full-output fitting example. Assumes heat/light retained in zone; confirm plenum/emergency charging allocation. Heat inference: real input becomes sensible heat if retained in this zone; no intentional moisture source. Zero latent requires no uncaptured moisture. Match room allocation and duty; count once.</t>
  </si>
  <si>
    <t>Full-output fitting example</t>
  </si>
  <si>
    <t>Assumes heat/light retained in zone; confirm plenum/emergency charging allocation. Heat inference: real input becomes sensible heat if retained in this zone; no intentional moisture source.</t>
  </si>
  <si>
    <t>Philips CoreLine gen6 910505102817 — manufacturer specification</t>
  </si>
  <si>
    <t>https://www.signify.com/nl-nl/prof/armaturen-voor-binnenverlichting/inbouwarmaturen/philips-coreline-paneel-gen6/910505102817_EU/product</t>
  </si>
  <si>
    <t>Philips CoreLine gen6 910505102817 (example; not installed-model confirmation)</t>
  </si>
  <si>
    <t>LED panel — 1200 × 300 mm</t>
  </si>
  <si>
    <t>Match Philips CoreLine 910505104636 (example; not installed-model confirmation). Full output. Assumes fitting/light heat retained in zone; verify plenum split. Heat inference: real input becomes sensible heat if retained in this zone; no intentional moisture source. Zero latent requires no uncaptured moisture. Match room allocation and duty; count once.</t>
  </si>
  <si>
    <t>Full output</t>
  </si>
  <si>
    <t>Assumes fitting/light heat retained in zone; verify plenum split. Heat inference: real input becomes sensible heat if retained in this zone; no intentional moisture source.</t>
  </si>
  <si>
    <t>Philips CoreLine 910505104636 — manufacturer specification</t>
  </si>
  <si>
    <t>https://www.signify.com/pt-pt/prof/luminarias-de-interior/encastradas/philips-painel-coreline-gen6/910505104636_EU/product</t>
  </si>
  <si>
    <t>Philips CoreLine 910505104636 (example; not installed-model confirmation)</t>
  </si>
  <si>
    <t>LED high-bay luminaire</t>
  </si>
  <si>
    <t>Match Philips SmartBright 911401640107 (example; not installed-model confirmation). Full output. 220–240 V example; room allocation required. Heat inference: real input becomes sensible heat if retained in this zone; no intentional moisture source. Zero latent requires no uncaptured moisture. Match room allocation and duty; count once.</t>
  </si>
  <si>
    <t>220–240 V example; room allocation required. Heat inference: real input becomes sensible heat if retained in this zone; no intentional moisture source.</t>
  </si>
  <si>
    <t>Philips SmartBright 911401640107 — manufacturer specification</t>
  </si>
  <si>
    <t>https://www.signify.com/en-sg/prof/indoor-luminaires/high-bay-and-low-bay/high-bay/philips-smartbright-highbay/911401640107_EU/product</t>
  </si>
  <si>
    <t>Philips SmartBright 911401640107 (example; not installed-model confirmation)</t>
  </si>
  <si>
    <t>LED low-bay luminaire</t>
  </si>
  <si>
    <t>Match Eaton LLBA1504KZ LED Low Bay (reference, not installed-model confirmation). Full output 97 circuit watts. Includes circuit power; eventual sensible gain if emitted light and losses remain inside thermal boundary. Zero latent requires no uncaptured moisture. Match room allocation and duty; count once.</t>
  </si>
  <si>
    <t>Full output 97 circuit watts</t>
  </si>
  <si>
    <t>Includes circuit power; eventual sensible gain if emitted light and losses remain inside thermal boundary.</t>
  </si>
  <si>
    <t>Eaton LLBA1504KZ LED Low Bay — source below</t>
  </si>
  <si>
    <t>https://www.eaton.com/sg/en-us/catalog/lighting-and-controls/led-low-bay-industrial-luminaire.html</t>
  </si>
  <si>
    <t>Eaton LLBA1504KZ LED Low Bay (reference, not installed-model confirmation)</t>
  </si>
  <si>
    <t>LED strip / cove lighting — per metre</t>
  </si>
  <si>
    <t>Match Penn Elcom LEDPL-TW-922935-16W. Full output per metre, 24 V DC. 16.8 W/m ±10%, both white channels. Conditional eventual sensible heat with light retained indoors; driver/controller loss additional. Zero latent requires no uncaptured moisture. Match room allocation and duty; count once.</t>
  </si>
  <si>
    <t>Full output per metre, 24 V DC</t>
  </si>
  <si>
    <t>16.8 W/m ±10%, both white channels. Conditional eventual sensible heat with light retained indoors; driver/controller loss additional.</t>
  </si>
  <si>
    <t>Penn Elcom LEDPL-TW-922935-16W — see source</t>
  </si>
  <si>
    <t>https://www.penn-elcom.com/5m-reel-tunable-white-cct-led-strip-2200-3500k-high-density-240leds-m-24v-ip20-ledpl-tw-922935-16w</t>
  </si>
  <si>
    <t>Penn Elcom LEDPL-TW-922935-16W</t>
  </si>
  <si>
    <t>LED track spotlight</t>
  </si>
  <si>
    <t>Match Philips StoreFit 910505102049 (example; not installed-model confirmation). Full output; non-dimmable. Driver included. Light assumed absorbed in zone. Do not add to an existing lighting allowance. Heat estimate assumes input energy is ultimately retained as sensible heat in the zone; no intentional moisture source. Zero latent requires no uncaptured moisture. Match room allocation and duty; count once.</t>
  </si>
  <si>
    <t>Full output; non-dimmable</t>
  </si>
  <si>
    <t>Driver included. Light assumed absorbed in zone. Do not add to an existing lighting allowance. Heat estimate assumes input energy is ultimately retained as sensible heat in the zone; no intentional moisture source.</t>
  </si>
  <si>
    <t>Philips StoreFit 910505102049 — manufacturer specification</t>
  </si>
  <si>
    <t>https://www.signify.com/global/prof/indoor-luminaires/projectors/philips-storefit/910505102049_EU/product</t>
  </si>
  <si>
    <t>Philips StoreFit 910505102049 (example; not installed-model confirmation)</t>
  </si>
  <si>
    <t>LED downlight — dimmable</t>
  </si>
  <si>
    <t>Match Philips DN029B G2 LED10/CCT PSR-E D120 CAU (reference, not installed-model confirmation). Full light output; dimmable 9 W rated consumption. Total eventual heat if light and driver losses stay inside boundary; room/plenum split not supplied. ±10% power tolerance. Dimming changes consumption. Zero latent requires no uncaptured moisture. Match room allocation and duty; count once.</t>
  </si>
  <si>
    <t>Full light output; dimmable 9 W rated consumption</t>
  </si>
  <si>
    <t>Total eventual heat if light and driver losses stay inside boundary; room/plenum split not supplied. ±10% power tolerance. Dimming changes consumption.</t>
  </si>
  <si>
    <t>Philips DN029B G2 LED10/CCT PSR-E D120 CAU — source below</t>
  </si>
  <si>
    <t>https://www.signify.com/api/assets/v1/file/Signify/content/929002531419_EU.en_AA.PROF.FP/Localized_commercial_leaflet_929002531419_en_AA.pdf</t>
  </si>
  <si>
    <t>Philips DN029B G2 LED10/CCT PSR-E D120 CAU (reference, not installed-model confirmation)</t>
  </si>
  <si>
    <t>Emergency lighting fitting</t>
  </si>
  <si>
    <t>Legrand Flexo D40 659631LI complete standalone fitting. Conservative input-to-sensible upper allowance, not measured standby heat. Include lamp, driver and battery unit in the same thermal zone; ceiling void losses require allocation. Battery charging stores some energy. Excludes battery-only outage operation; do not add this if already included in lighting allowance. E=0 requires no uncaptured moisture. Confirm installed equipment and conditions; no engineering approval implied. G/H retain the earlier reference.</t>
  </si>
  <si>
    <t>Published maximum system power; mains supplied</t>
  </si>
  <si>
    <t>Conservative input-to-sensible upper allowance, not measured standby heat. Include lamp, driver and battery unit in the same thermal zone; ceiling void losses require allocation. Battery charging stores some energy. Excludes battery-only outage operation; do not add this if already included in lighting allowance. Previous reference/model context (not current D): Satellite lighting only; battery supply/charging losses and normal-vs-emergency operation need separate selection.</t>
  </si>
  <si>
    <t>Legrand659631LI technical specifications: maximum system3W</t>
  </si>
  <si>
    <t>https://www.legrand.com.au/en/catalog/products/legrand-flexo-d40-recessed-led-flex-plug-standalone-satellite-white-659631li</t>
  </si>
  <si>
    <t>Legrand Flexo D40 659631LI complete standalone fitting</t>
  </si>
  <si>
    <t>Exit sign</t>
  </si>
  <si>
    <t>Legrand Flexo659625LI complete maintained exit sign. Conservative input-to-sensible upper allowance, not measured usual consumption. Sign, driver and battery in same thermal zone; allocate ceiling void heat if necessary. Charging stores some energy; battery-only operation needs separate treatment. Count once, including existing lighting allowance. E=0 requires no uncaptured moisture. Confirm installed equipment and conditions; no engineering approval implied. G/H retain the earlier reference.</t>
  </si>
  <si>
    <t>Conservative input-to-sensible upper allowance, not measured usual consumption. Sign, driver and battery in same thermal zone; allocate ceiling void heat if necessary. Charging stores some energy; battery-only operation needs separate treatment. Count once, including existing lighting allowance. Previous reference/model context (not current D): Lighting input 3 W. Datasheet separately lists up to 3 W additional charging input, whose heat/storage split is not specified. Light absorbed in room. Heat estimate assumes input energy is ultimately retained as sensible heat in the zone; no intentional moisture source.</t>
  </si>
  <si>
    <t>Legrand659625LI technical specifications: maximum system4W</t>
  </si>
  <si>
    <t>https://www.legrand.com.au/en/catalog/products/legrand-flexo-emergency-edgelight-standalone-2-in-1-surface-recessed-mount-white-all-running-man-decals-659625li</t>
  </si>
  <si>
    <t>Legrand Flexo659625LI complete maintained exit sign</t>
  </si>
  <si>
    <t>Exterior floodlight</t>
  </si>
  <si>
    <t>NUMERIC EXAMPLE: 50 W (0.05 kW); ELECTRICAL INPUT — not established room heat.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t>
  </si>
  <si>
    <t>Rated outdoor fixture consumption</t>
  </si>
  <si>
    <t>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t>
  </si>
  <si>
    <t>Philips SmartBright BVP158 911401894286 — source below</t>
  </si>
  <si>
    <t>https://www.signify.com/global/prof/outdoor-luminaires/sports-and-area-floodlighting/area-and-recreational-floodlighting/philips-smartbright-all-in-floodlight/911401894286_EU/product</t>
  </si>
  <si>
    <t>Philips SmartBright BVP158 911401894286 (reference, not installed-model confirmation)</t>
  </si>
  <si>
    <t>ELECTRICAL INPUT — not established room heat</t>
  </si>
  <si>
    <t>Existing electrical reference for Exterior floodlight: 50 W.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 This is not a measured sensible/latent room load. Only a closed energy balance can justify equating it to eventual total heat; external steam, refrigerant, fluid, work, storage and exhaust can change that result. REQUIRED: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t>
  </si>
  <si>
    <t>Desk lamp</t>
  </si>
  <si>
    <t>Match Philips WiZ Hero (example; not installed-model confirmation). Published input consumption. Count fixture once; dimming changes consumption. Light assumed absorbed in room. Heat estimate assumes input energy is ultimately retained as sensible heat in the zone; no intentional moisture source. Zero latent requires no uncaptured moisture. Match room allocation and duty; count once.</t>
  </si>
  <si>
    <t>Published input consumption</t>
  </si>
  <si>
    <t>Count fixture once; dimming changes consumption. Light assumed absorbed in room. Heat estimate assumes input energy is ultimately retained as sensible heat in the zone; no intentional moisture source.</t>
  </si>
  <si>
    <t>Philips WiZ Hero — manufacturer specification</t>
  </si>
  <si>
    <t>https://in.shop.lighting.philips.com/products/philips-smart-wifi-led-hero-desk-lamp?variant=45116701278398</t>
  </si>
  <si>
    <t>Philips WiZ Hero (example; not installed-model confirmation)</t>
  </si>
  <si>
    <t>Stage / studio lighting fixture</t>
  </si>
  <si>
    <t>Match ETC Source Four LED Lustr+ (reference, not installed-model confirmation). 240 V; full intensity. Conditional room heat when light and fixture losses remain in zone; dimming/cue schedule changes load. Zero latent requires no uncaptured moisture. Match room allocation and duty; count once.</t>
  </si>
  <si>
    <t>240 V; full intensity</t>
  </si>
  <si>
    <t>Conditional room heat when light and fixture losses remain in zone; dimming/cue schedule changes load.</t>
  </si>
  <si>
    <t>ETC Source Four LED Lustr+ — source below</t>
  </si>
  <si>
    <t>https://support.etcconnect.com/ETC/Getting_Started_with_ETC_and_FAQ/Inrush_Current_and_ETC_LED_Fixtures</t>
  </si>
  <si>
    <t>ETC Source Four LED Lustr+ (reference, not installed-model confirmation)</t>
  </si>
  <si>
    <t>Kitchen</t>
  </si>
  <si>
    <t>Microwave oven</t>
  </si>
  <si>
    <t>BLOCKED — split/boundary absent</t>
  </si>
  <si>
    <t>NUMERIC EXAMPLE: 822 W (0.822 kW); EXISTING REFERENCE — scope/state limits apply.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t>
  </si>
  <si>
    <t>Table 10; upper end of measured peak range</t>
  </si>
  <si>
    <t>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t>
  </si>
  <si>
    <t>ASHRAE 2017 example: Microwave 25–34 L; tested range 713–822 W — source below</t>
  </si>
  <si>
    <t>Kitchen / staff room</t>
  </si>
  <si>
    <t>ASHRAE 2017 example: Microwave 25–34 L; tested range 713–822 W (reference, not installed-model confirmation)</t>
  </si>
  <si>
    <t>Heating / food process</t>
  </si>
  <si>
    <t>Idle/preheat/active/standby; hood condition</t>
  </si>
  <si>
    <t>Table 10; upper end of measured peak range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 This retains the original reference, including any unresolved source limitations; it is not newly validated net room heat. REQUIRED: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t>
  </si>
  <si>
    <t>Electric kettle</t>
  </si>
  <si>
    <t>NUMERIC EXAMPLE: 1200 W (1.2 kW); EXISTING REFERENCE — scope/state limits apply.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t>
  </si>
  <si>
    <t>Table 10; measured peak; replaces unmatched 2400 W input example</t>
  </si>
  <si>
    <t>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t>
  </si>
  <si>
    <t>ASHRAE 2017 example: Tea kettle up to six cups, 1200 W — source below</t>
  </si>
  <si>
    <t>ASHRAE 2017 example: Tea kettle up to six cups, 1200 W (reference, not installed-model confirmation)</t>
  </si>
  <si>
    <t>Table 10; measured peak; replaces unmatched 2400 W input example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 This retains the original reference, including any unresolved source limitations; it is not newly validated net room heat. REQUIRED: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t>
  </si>
  <si>
    <t>Drip coffee machine</t>
  </si>
  <si>
    <t>NUMERIC EXAMPLE: 780 W (0.78 kW); EXISTING REFERENCE — scope/state limits apply.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t>
  </si>
  <si>
    <t>Table 10; measured peak</t>
  </si>
  <si>
    <t>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t>
  </si>
  <si>
    <t>ASHRAE 2017 example: Drip coffee maker, up to 12 cups, 950 W — source below</t>
  </si>
  <si>
    <t>ASHRAE 2017 example: Drip coffee maker, up to 12 cups, 950 W (reference, not installed-model confirmation)</t>
  </si>
  <si>
    <t>Table 10; measured peak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 This retains the original reference, including any unresolved source limitations; it is not newly validated net room heat. REQUIRED: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t>
  </si>
  <si>
    <t>Commercial espresso machine</t>
  </si>
  <si>
    <t>CONDITIONAL — idle/ready only</t>
  </si>
  <si>
    <t>Match ASHRAE 2017 example: Espresso machine, rated 2403 W (reference, not installed-model confirmation). Table 5A; unhooded, idle/ready only.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</si>
  <si>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Table 5A; unhooded, idle/ready only</t>
  </si>
  <si>
    <t>ASHRAE 2017 example: Espresso machine, rated 2403 W — source below</t>
  </si>
  <si>
    <t>ASHRAE 2017 example: Espresso machine, rated 2403 W (reference, not installed-model confirmation)</t>
  </si>
  <si>
    <t>Bean-to-cup coffee machine</t>
  </si>
  <si>
    <t>NUMERIC EXAMPLE: 376 W (0.376 kW); EXISTING REFERENCE — scope/state limits apply.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t>
  </si>
  <si>
    <t>Table 10; measured peak, small unit example</t>
  </si>
  <si>
    <t>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t>
  </si>
  <si>
    <t>ASHRAE 2017 example: Coffee maker with grinder, 1350 W — source below</t>
  </si>
  <si>
    <t>ASHRAE 2017 example: Coffee maker with grinder, 1350 W (reference, not installed-model confirmation)</t>
  </si>
  <si>
    <t>Table 10; measured peak, small unit example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 This retains the original reference, including any unresolved source limitations; it is not newly validated net room heat. REQUIRED: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t>
  </si>
  <si>
    <t>Hot water boiler / urn</t>
  </si>
  <si>
    <t>Match ASHRAE 2017 example: Coffee brewing urn, rated 3810 W (reference, not installed-model confirmation). Table 5A; unhooded, idle only. Reference test example, not the installed appliance or a universal typical value. Preserve stated hood/state and confirm duty. Published total retained; rounded components may not sum exactly. DO NOT use for active-operation hours. Keep sensible and latent separate. Match room allocation and duty; count once.</t>
  </si>
  <si>
    <t>Table 5A; unhooded, idle only</t>
  </si>
  <si>
    <t>ASHRAE 2017 example: Coffee brewing urn, rated 3810 W — source below</t>
  </si>
  <si>
    <t>ASHRAE 2017 example: Coffee brewing urn, rated 3810 W (reference, not installed-model confirmation)</t>
  </si>
  <si>
    <t>Toaster</t>
  </si>
  <si>
    <t>Match ASHRAE measured large4-slice pop-up toaster example. Published cooking heat gain; source-rated1788 W / operating879 W. Published total762 W =469 W sensible +293 W latent. Specific test example, not a Breville measurement or all-hour average. Table mixes standby and cooking entries: this row explicitly identifies cooking. Keep sensible and latent separate. Match room allocation and duty; count once.</t>
  </si>
  <si>
    <t>Published cooking heat gain; source-rated1788 W / operating879 W</t>
  </si>
  <si>
    <t>Published total762 W =469 W sensible +293 W latent. Specific test example, not a Breville measurement or all-hour average. Table mixes standby and cooking entries: this row explicitly identifies cooking.</t>
  </si>
  <si>
    <t>ASHRAE measured large4-slice pop-up toaster example — see source</t>
  </si>
  <si>
    <t>https://handbook.ashrae.org/Handbooks/F25/SI/F25_Ch18/F25_Ch18_si.aspx</t>
  </si>
  <si>
    <t>ASHRAE measured large4-slice pop-up toaster example</t>
  </si>
  <si>
    <t>Sandwich press</t>
  </si>
  <si>
    <t>Match ASHRAE 2017 example: Panini grill, rated 1800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</si>
  <si>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Table 5B; cooking, unhooded</t>
  </si>
  <si>
    <t>ASHRAE 2017 example: Panini grill, rated 1800 W — source below</t>
  </si>
  <si>
    <t>ASHRAE 2017 example: Panini grill, rated 1800 W (reference, not installed-model confirmation)</t>
  </si>
  <si>
    <t>Air fryer</t>
  </si>
  <si>
    <t>NUMERIC EXAMPLE: 1500 W (1.5 kW); ELECTRICAL INPUT — not established room heat.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t>
  </si>
  <si>
    <t>220–240 V rated input</t>
  </si>
  <si>
    <t>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t>
  </si>
  <si>
    <t>Philips NA220/00 4.2 L air fryer — source below</t>
  </si>
  <si>
    <t>https://www.documents.philips.com/assets/20240213/4e438470cb0f4d0d8ddcb11500d56a55.pdf</t>
  </si>
  <si>
    <t>Philips NA220/00 4.2 L air fryer (reference, not installed-model confirmation)</t>
  </si>
  <si>
    <t>Guidance reviewed; 19 Oct 2026. No engineering approval asserted.</t>
  </si>
  <si>
    <t>Existing electrical reference for Air fryer: 1500 W.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 This is not a measured sensible/latent room load. Only a closed energy balance can justify equating it to eventual total heat; external steam, refrigerant, fluid, work, storage and exhaust can change that result. REQUIRED: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t>
  </si>
  <si>
    <t>Bench-top induction cooktop</t>
  </si>
  <si>
    <t>Match ASHRAE 2017 example: Countertop induction hob, rated 5000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</si>
  <si>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ASHRAE 2017 example: Countertop induction hob, rated 5000 W — source below</t>
  </si>
  <si>
    <t>ASHRAE 2017 example: Countertop induction hob, rated 5000 W (reference, not installed-model confirmation)</t>
  </si>
  <si>
    <t>Electric cooktop</t>
  </si>
  <si>
    <t>Single burner only: 940 W sensible + 44 W latent. Not the previous LG five-zone model. Confirm comparable cooking and no hood capture; do not scale to a whole cooktop by rated power. Published total 985 W differs from component sum 984 W by rounding. Project applicability must be confirmed; not engineering-approved.</t>
  </si>
  <si>
    <t>Unhooded cooking; Table 5B</t>
  </si>
  <si>
    <t>Current D/E: Single-burner electric hotplate; ASHRAE test example. Previous reference retained for traceability: LG LCE3010SB; US five-zone example; actual simultaneous cooking, moisture, hood and heated food determine room heat. Not an Australian installation default.</t>
  </si>
  <si>
    <t>ASHRAE 2017 Fundamentals, Ch.18, Table 5B</t>
  </si>
  <si>
    <t>Published example — conditional project use</t>
  </si>
  <si>
    <t>Rated electrical 1100 W; not room heat</t>
  </si>
  <si>
    <t>Single-burner electric hotplate; ASHRAE test example</t>
  </si>
  <si>
    <t>Source checked 2026-10-18; no engineering approval asserted</t>
  </si>
  <si>
    <t>Electric oven</t>
  </si>
  <si>
    <t>NUMERIC EXAMPLE: 3000 W (3 kW); ELECTRICAL INPUT — not established room heat.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t>
  </si>
  <si>
    <t>Nominal electrical input</t>
  </si>
  <si>
    <t>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t>
  </si>
  <si>
    <t>Smeg SF6300TVX — source below</t>
  </si>
  <si>
    <t>https://www.smeg.com/ie/products/SF6300TVX</t>
  </si>
  <si>
    <t>Smeg SF6300TVX (reference, not installed-model confirmation)</t>
  </si>
  <si>
    <t>Existing electrical reference for Electric oven: 3000 W.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 This is not a measured sensible/latent room load. Only a closed energy balance can justify equating it to eventual total heat; external steam, refrigerant, fluid, work, storage and exhaust can change that result. REQUIRED: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t>
  </si>
  <si>
    <t>Commercial convection oven</t>
  </si>
  <si>
    <t>Match ASHRAE 2017 example: Full-size convection oven, rated 12103 W (reference, not installed-model confirmation). Table 5C; hooded, idle/ready only.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</si>
  <si>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Table 5C; hooded, idle/ready only</t>
  </si>
  <si>
    <t>ASHRAE 2017 example: Full-size convection oven, rated 12103 W — source below</t>
  </si>
  <si>
    <t>ASHRAE 2017 example: Full-size convection oven, rated 12103 W (reference, not installed-model confirmation)</t>
  </si>
  <si>
    <t>Commercial dishwasher</t>
  </si>
  <si>
    <t>CONDITIONAL — stated process</t>
  </si>
  <si>
    <t>Match Hobart LXeH (example; not installed-model confirmation). Published heat output; specification F40902. 4000 BTU/h sensible +4600 latent ×0.293071. US model; actual duty/installation must match. Keep sensible and latent separate. Match room allocation and duty; count once.</t>
  </si>
  <si>
    <t>Published heat output; specification F40902</t>
  </si>
  <si>
    <t>4000 BTU/h sensible +4600 latent ×0.293071. US model; actual duty/installation must match.</t>
  </si>
  <si>
    <t>Hobart LXeH — manufacturer specification</t>
  </si>
  <si>
    <t>https://www.hobartcorp.com/sites/default/files/webdam-assets/LXeH%20High%20Temp%20Undercounter%20Dishwasher%20Spec%20Sheet%20F40902%20(09-22).pdf</t>
  </si>
  <si>
    <t>Hobart LXeH (example; not installed-model confirmation)</t>
  </si>
  <si>
    <t>Manufacturer heat rejection/emissions; checked 2026-10-13</t>
  </si>
  <si>
    <t>Domestic dishwasher</t>
  </si>
  <si>
    <t>NUMERIC EXAMPLE: 1800 W (1.8 kW); ELECTRICAL INPUT — not established room heat.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t>
  </si>
  <si>
    <t>Electrical example only — room heat unresolved</t>
  </si>
  <si>
    <t>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t>
  </si>
  <si>
    <t>Not structured — see source/model basis — see source</t>
  </si>
  <si>
    <t>https://www.samsung.com/uk/business/dishwashers/built-in/dw4000rm-dw50dg450b00-energy-efficiency-flexible-3rd-rack-auto-adjust-9-place-settings-white--dw50dg430b00eu/</t>
  </si>
  <si>
    <t>Existing electrical reference for Domestic dishwasher: 1800 W.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 This is not a measured sensible/latent room load. Only a closed energy balance can justify equating it to eventual total heat; external steam, refrigerant, fluid, work, storage and exhaust can change that result. REQUIRED: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t>
  </si>
  <si>
    <t>Under-bench refrigerator</t>
  </si>
  <si>
    <t>NUMERIC EXAMPLE: 11.19 W (0.01119 kW); EXISTING REFERENCE — scope/state limits apply.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t>
  </si>
  <si>
    <t>Annual-label energy average, 98 kWh/year ÷ 8760 h</t>
  </si>
  <si>
    <t>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t>
  </si>
  <si>
    <t>Haier HRF90UG2 90 L — source below</t>
  </si>
  <si>
    <t>https://www.haier.com.au/refrigeration/refrigerators/90l-300-series-bar-refrigerator-hrf90ug2-62402.html</t>
  </si>
  <si>
    <t>Haier HRF90UG2 90 L (reference, not installed-model confirmation)</t>
  </si>
  <si>
    <t>Annual-label energy average, 98 kWh/year ÷ 8760 h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 This retains the original reference, including any unresolved source limitations; it is not newly validated net room heat. REQUIRED: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t>
  </si>
  <si>
    <t>Full-size refrigerator</t>
  </si>
  <si>
    <t>430 W conditional sensible estimate: upper end of ASHRAE's historical 510 L fridge sample range, not a universal refrigerator value. Accept the analogue for the project before use. Whole cabinet and condenser must be in this room, with negligible net product-energy transfer and no net moisture release over the calculation period (0 W latent is an assumption). Excludes loading/pull-down/defrost peaks unless separately justified. Do not add condenser heat or electrical input again; same physical unit must not also be counted under row29.</t>
  </si>
  <si>
    <t>Historical 15-minute peak reference; explicit room-balance assumptions</t>
  </si>
  <si>
    <t>ASHRAE 2017 Fundamentals Ch18 Table10; 510 L fridge range387–430 W</t>
  </si>
  <si>
    <t>Published reference + conditional allocation; project review required</t>
  </si>
  <si>
    <t>Historical 510 L fridge sample; model not named</t>
  </si>
  <si>
    <t>Upper end of measured sample range; not universal peak</t>
  </si>
  <si>
    <t>Source verified; 19 Oct 2026. No engineering approval asserted.</t>
  </si>
  <si>
    <t>Chest freezer</t>
  </si>
  <si>
    <t>NUMERIC EXAMPLE: 34.13 W (0.03413 kW); EXISTING REFERENCE — scope/state limits apply.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t>
  </si>
  <si>
    <t>Annual-label energy average, 299 kWh/year</t>
  </si>
  <si>
    <t>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t>
  </si>
  <si>
    <t>Fisher &amp; Paykel RC376W2 — source below</t>
  </si>
  <si>
    <t>https://www.fisherpaykel.com/on/demandware.static/-/Sites-fpa-master-catalog/default/dw6d262815/QRG/NZ/QRG-NZ-26053.pdf</t>
  </si>
  <si>
    <t>Fisher &amp; Paykel RC376W2 (reference, not installed-model confirmation)</t>
  </si>
  <si>
    <t>Annual-label energy average, 299 kWh/year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 This retains the original reference, including any unresolved source limitations; it is not newly validated net room heat. REQUIRED: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t>
  </si>
  <si>
    <t>Ice machine — commercial</t>
  </si>
  <si>
    <t>NUMERIC EXAMPLE: 1595.2 W (1.5952 kW); EXISTING REFERENCE — scope/state limits apply.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t>
  </si>
  <si>
    <t>32.2°C air / 21.1°C water; historical model</t>
  </si>
  <si>
    <t>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t>
  </si>
  <si>
    <t>Hoshizaki KM-250B air-cooled — manufacturer specification</t>
  </si>
  <si>
    <t>https://www.hoshizaki.com/Docs/techsupport/pocketguides/prplbk.pdf</t>
  </si>
  <si>
    <t>Hoshizaki KM-250B air-cooled (example; not installed-model confirmation)</t>
  </si>
  <si>
    <t>32.2°C air / 21.1°C water; historical model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 This retains the original reference, including any unresolved source limitations; it is not newly validated net room heat. REQUIRED: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t>
  </si>
  <si>
    <t>Water cooler — compressor type</t>
  </si>
  <si>
    <t>NUMERIC EXAMPLE: 350 W (0.35 kW); EXISTING REFERENCE — scope/state limits apply.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t>
  </si>
  <si>
    <t>Table 10; upper measured peak example</t>
  </si>
  <si>
    <t>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t>
  </si>
  <si>
    <t>ASHRAE 2017 example: Top-mounted bottled-water cooler; measured 114–350 W — source below</t>
  </si>
  <si>
    <t>ASHRAE 2017 example: Top-mounted bottled-water cooler; measured 114–350 W (reference, not installed-model confirmation)</t>
  </si>
  <si>
    <t>Table 10; upper measured peak example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 This retains the original reference, including any unresolved source limitations; it is not newly validated net room heat. REQUIRED: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t>
  </si>
  <si>
    <t>Hot-and-cold water dispenser</t>
  </si>
  <si>
    <t>NUMERIC EXAMPLE: 1600 W (1.6 kW); ELECTRICAL INPUT — not established room heat.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t>
  </si>
  <si>
    <t>Manufacturer electrical specification — room heat unresolved</t>
  </si>
  <si>
    <t>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t>
  </si>
  <si>
    <t>Novita W55 hot/cold dispenser with ice maker — source below</t>
  </si>
  <si>
    <t>https://www.novita.com.sg/usermanual/a24sw55.pdf</t>
  </si>
  <si>
    <t>Novita W55 hot/cold dispenser with ice maker (reference, not installed-model confirmation)</t>
  </si>
  <si>
    <t>Existing electrical reference for Hot-and-cold water dispenser: 1600 W.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 This is not a measured sensible/latent room load. Only a closed energy balance can justify equating it to eventual total heat; external steam, refrigerant, fluid, work, storage and exhaust can change that result. REQUIRED: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t>
  </si>
  <si>
    <t>Bottle steriliser</t>
  </si>
  <si>
    <t>NUMERIC EXAMPLE: 650 W (0.65 kW); ELECTRICAL INPUT — not established room heat.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t>
  </si>
  <si>
    <t>Sterilising-cycle rated input</t>
  </si>
  <si>
    <t>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t>
  </si>
  <si>
    <t>Philips Avent SCF291/00 — source below</t>
  </si>
  <si>
    <t>https://acc.philips.com.au/c-p/SCF291_00/steriliser</t>
  </si>
  <si>
    <t>Philips Avent SCF291/00 (reference, not installed-model confirmation)</t>
  </si>
  <si>
    <t>Existing electrical reference for Bottle steriliser: 650 W.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 This is not a measured sensible/latent room load. Only a closed energy balance can justify equating it to eventual total heat; external steam, refrigerant, fluid, work, storage and exhaust can change that result. REQUIRED: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t>
  </si>
  <si>
    <t>Food processor / blender</t>
  </si>
  <si>
    <t>Match Panasonic MK-F510 food processor/blender (reference, not installed-model confirmation). Upper published 270–300 W operating rating. Conditional eventual heat with processed food retained. Intermittent rated use; do not assume runs all hour. Zero latent requires no uncaptured moisture. Match room allocation and duty; count once.</t>
  </si>
  <si>
    <t>Upper published 270–300 W operating rating</t>
  </si>
  <si>
    <t>Conditional eventual heat with processed food retained. Intermittent rated use; do not assume runs all hour.</t>
  </si>
  <si>
    <t>Panasonic MK-F510 food processor/blender — source below</t>
  </si>
  <si>
    <t>https://www.panasonic.com/content/dam/Panasonic/MEA/pdf-download/Cooking/MK-F510KTZ_MK-F310WTZ_OI.pdf</t>
  </si>
  <si>
    <t>Panasonic MK-F510 food processor/blender (reference, not installed-model confirmation)</t>
  </si>
  <si>
    <t>Commercial food warmer</t>
  </si>
  <si>
    <t>Match ASHRAE 2017 example: Large insulated hot-serving cabinet, rated 1993 W (reference, not installed-model confirmation). Table 5A; idle, unhooded cabinet example.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</si>
  <si>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Table 5A; idle, unhooded cabinet example</t>
  </si>
  <si>
    <t>ASHRAE 2017 example: Large insulated hot-serving cabinet, rated 1993 W — source below</t>
  </si>
  <si>
    <t>ASHRAE 2017 example: Large insulated hot-serving cabinet, rated 1993 W (reference, not installed-model confirmation)</t>
  </si>
  <si>
    <t>Heated display cabinet</t>
  </si>
  <si>
    <t>Match ASHRAE 2017 example: Dry-holding hot-food case, rated 9115 W (reference, not installed-model confirmation). Table 5A; idle, unhooded.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</si>
  <si>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Table 5A; idle, unhooded</t>
  </si>
  <si>
    <t>ASHRAE 2017 example: Dry-holding hot-food case, rated 9115 W — source below</t>
  </si>
  <si>
    <t>ASHRAE 2017 example: Dry-holding hot-food case, rated 9115 W (reference, not installed-model confirmation)</t>
  </si>
  <si>
    <t>Commercial deep fryer</t>
  </si>
  <si>
    <t>Match ASHRAE 2017 example: Countertop open deep fryer, rated 4600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</si>
  <si>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ASHRAE 2017 example: Countertop open deep fryer, rated 4600 W — source below</t>
  </si>
  <si>
    <t>ASHRAE 2017 example: Countertop open deep fryer, rated 4600 W (reference, not installed-model confirmation)</t>
  </si>
  <si>
    <t>Commercial griddle / hotplate</t>
  </si>
  <si>
    <t>Match ASHRAE 2017 example: Countertop griddle, rated 8000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</si>
  <si>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ASHRAE 2017 example: Countertop griddle, rated 8000 W — source below</t>
  </si>
  <si>
    <t>ASHRAE 2017 example: Countertop griddle, rated 8000 W (reference, not installed-model confirmation)</t>
  </si>
  <si>
    <t>Education</t>
  </si>
  <si>
    <t>Document camera</t>
  </si>
  <si>
    <t>Match IPEVO V4K ULTRA (example; not installed-model confirmation). Published consumption:5 V ×0.35 A. USB endpoint; do not add twice to measured host input. Adapter losses separate. Heat inference: real input becomes sensible heat if retained in this zone; no intentional moisture source. Zero latent requires no uncaptured moisture. Match room allocation and duty; count once.</t>
  </si>
  <si>
    <t>Published consumption:5 V ×0.35 A</t>
  </si>
  <si>
    <t>USB endpoint; do not add twice to measured host input. Adapter losses separate. Heat inference: real input becomes sensible heat if retained in this zone; no intentional moisture source.</t>
  </si>
  <si>
    <t>IPEVO V4K ULTRA — manufacturer specification</t>
  </si>
  <si>
    <t>https://us.ipevo.com/pages/v4k-ultra-specs</t>
  </si>
  <si>
    <t>School / university</t>
  </si>
  <si>
    <t>IPEVO V4K ULTRA (example; not installed-model confirmation)</t>
  </si>
  <si>
    <t>Classroom projector — laser</t>
  </si>
  <si>
    <t>Match Epson EB-L260F (example; not installed-model confirmation). Normal mode; 220–240 V.  Heat inference: real input becomes sensible heat if retained in this zone; no intentional moisture source. Zero latent requires no uncaptured moisture. Match room allocation and duty; count once.</t>
  </si>
  <si>
    <t>Normal mode; 220–240 V</t>
  </si>
  <si>
    <t>Epson EB-L260F — manufacturer specification</t>
  </si>
  <si>
    <t>https://files.support.epson.com/docid/cpd6/cpd63079/source/specifications/reference/plebl210w_265f/spex_electrical_plebl210w_l265f.html</t>
  </si>
  <si>
    <t>Epson EB-L260F (example; not installed-model confirmation)</t>
  </si>
  <si>
    <t>Interactive classroom display</t>
  </si>
  <si>
    <t>Laptop charging trolley</t>
  </si>
  <si>
    <t>CONDITIONAL — exact configuration</t>
  </si>
  <si>
    <t>7.8 W sensible ONLY for the defined example of30 fully charged Jan2023 14-inch MacBook Pro systems asleep at230 V, with supplied67 W adapters (30×0.26 W). This excludes active charging/waking and assumes an unpowered trolley with no fan, controller or other electronics. Add any actual trolley electronics separately. Zero latent assumes no moisture source. Count the adapters once; use actual laptop count/model and design-hour state. Not a normal active-charging allowance.</t>
  </si>
  <si>
    <t>Charged/asleep at 230 V; no active battery charging</t>
  </si>
  <si>
    <t>Apple Jan2023 14-inch MacBook Pro environmental report,p10 Sleep230 V; fully charged test basis p9</t>
  </si>
  <si>
    <t>Source-backed reference; conditional room allocation — project review required</t>
  </si>
  <si>
    <t>Defined trolley example: 30 fully charged 14-inch MacBook Pro (Jan2023) systems asleep</t>
  </si>
  <si>
    <t>Reviewed19 Oct2026; see adjacent source limitations; no engineering approval asserted.</t>
  </si>
  <si>
    <t>3D printer — desktop</t>
  </si>
  <si>
    <t>Match Prusa MK-series (example; not installed-model confirmation). Manufacturer measured average; generic PLA at room temperature 26°C. PLA example only; source gives 120 W for ABS. Approximate steady room gain when heat is retained; warm-up peaks, extraction and stored/exported product heat need assessment. Heat estimate assumes input energy is ultimately retained as sensible heat in the zone; no intentional moisture source. Zero latent requires no uncaptured moisture. Match room allocation and duty; count once.</t>
  </si>
  <si>
    <t>Manufacturer measured average; generic PLA at room temperature 26°C</t>
  </si>
  <si>
    <t>PLA example only; source gives 120 W for ABS. Approximate steady room gain when heat is retained; warm-up peaks, extraction and stored/exported product heat need assessment. Heat estimate assumes input energy is ultimately retained as sensible heat in the zone; no intentional moisture source.</t>
  </si>
  <si>
    <t>Prusa MK-series — manufacturer specification</t>
  </si>
  <si>
    <t>https://help.prusa3d.com/article/faq-frequently-asked-questions_1932?product=xl</t>
  </si>
  <si>
    <t>Prusa MK-series (example; not installed-model confirmation)</t>
  </si>
  <si>
    <t>3D printer — industrial</t>
  </si>
  <si>
    <t>Stratasys F370 / F123 series; PC-ABS building. Approx2600BTU/h ×0.293071=762W. Specific printer/material only; not previous Omni TECH+ model. Idle PC-ABS approx615W; ABS building approx674W. Not warm-up peak; computer/support removal/extraction separate. Use only with all reported heat entering room and no uncaptured moisture. D is sensible heat estimate; E=0 assumes no moisture released. Confirm model, duty and room allocation before use. Original reference G/H is retained, not the new calculation input.</t>
  </si>
  <si>
    <t>PC-ABS building</t>
  </si>
  <si>
    <t>Approx2600BTU/h ×0.293071=762W. Specific printer/material only; not previous Omni TECH+ model. Idle PC-ABS approx615W; ABS building approx674W. Not warm-up peak; computer/support removal/extraction separate. Use only with all reported heat entering room and no uncaptured moisture. Previous reference context: Maximum input; chamber warm-up, printing duty and extraction determine room heat.</t>
  </si>
  <si>
    <t>Stratasys F123 Series Site Preparation Guide, printed p6; manufacturer document hosted by GWU</t>
  </si>
  <si>
    <t>https://cpb-us-e1.wpmucdn.com/blogs.gwu.edu/dist/7/2667/files/2019/09/F170_F270_F370-Site-Preparation-Guide-English.pdf</t>
  </si>
  <si>
    <t>Stratasys F370 / F123 series</t>
  </si>
  <si>
    <t>Laser cutter / engraver</t>
  </si>
  <si>
    <t>NUMERIC EXAMPLE: 830 W (0.83 kW); ELECTRICAL INPUT — not established room heat.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t>
  </si>
  <si>
    <t>Published machine input for 30 W laser variant</t>
  </si>
  <si>
    <t>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t>
  </si>
  <si>
    <t>Trotec Speedy 100/R, 30 W CO2 laser — source below</t>
  </si>
  <si>
    <t>https://www.troteclaser.com/static/pdf/speedy-100/operating-manual-Speedy-100R-8063-en-us.pdf</t>
  </si>
  <si>
    <t>Trotec Speedy 100/R, 30 W CO2 laser (reference, not installed-model confirmation)</t>
  </si>
  <si>
    <t>Existing electrical reference for Laser cutter / engraver: 830 W.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 This is not a measured sensible/latent room load. Only a closed energy balance can justify equating it to eventual total heat; external steam, refrigerant, fluid, work, storage and exhaust can change that result. REQUIRED: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t>
  </si>
  <si>
    <t>AV</t>
  </si>
  <si>
    <t>Audio amplifier</t>
  </si>
  <si>
    <t>Match Denon HEOS Amp (reference, not installed-model confirmation). Published consumption, not defined typical listening. 60 W eventual gain only with amplifier and passive speakers in same room; enclosure alone excludes speaker power. Zero latent requires no uncaptured moisture. Match room allocation and duty; count once.</t>
  </si>
  <si>
    <t>Published consumption, not defined typical listening</t>
  </si>
  <si>
    <t>60 W eventual gain only with amplifier and passive speakers in same room; enclosure alone excludes speaker power.</t>
  </si>
  <si>
    <t>Denon HEOS Amp — source below</t>
  </si>
  <si>
    <t>https://manuals.denon.com/HEOSAMP/ALL/en/BONDSYqdqwlzut.php</t>
  </si>
  <si>
    <t>Denon HEOS Amp (reference, not installed-model confirmation)</t>
  </si>
  <si>
    <t>Powered loudspeaker</t>
  </si>
  <si>
    <t>Match Yamaha HS8 (example; not installed-model confirmation). Published power consumption; listening level unspecified. Per speaker, not a pair. Includes amplifier; do not use 120 W audio output as electrical input. Heat estimate assumes input energy is ultimately retained as sensible heat in the zone; no intentional moisture source. Zero latent requires no uncaptured moisture. Match room allocation and duty; count once.</t>
  </si>
  <si>
    <t>Published power consumption; listening level unspecified</t>
  </si>
  <si>
    <t>Per speaker, not a pair. Includes amplifier; do not use 120 W audio output as electrical input. Heat estimate assumes input energy is ultimately retained as sensible heat in the zone; no intentional moisture source.</t>
  </si>
  <si>
    <t>Yamaha HS8 — manufacturer specification</t>
  </si>
  <si>
    <t>https://usa.yamaha.com/products/proaudio/speakers/hs_series/specs.html</t>
  </si>
  <si>
    <t>Yamaha HS8 (example; not installed-model confirmation)</t>
  </si>
  <si>
    <t>Subwoofer</t>
  </si>
  <si>
    <t>Match Yamaha HS8S (example; not installed-model confirmation). Published power consumption; listening level unspecified. Powered subwoofer; 150 W audio output is not the input. Heat estimate assumes input energy is ultimately retained as sensible heat in the zone; no intentional moisture source. Zero latent requires no uncaptured moisture. Match room allocation and duty; count once.</t>
  </si>
  <si>
    <t>Powered subwoofer; 150 W audio output is not the input. Heat estimate assumes input energy is ultimately retained as sensible heat in the zone; no intentional moisture source.</t>
  </si>
  <si>
    <t>Yamaha HS8S — manufacturer specification</t>
  </si>
  <si>
    <t>Yamaha HS8S (example; not installed-model confirmation)</t>
  </si>
  <si>
    <t>Digital mixing console</t>
  </si>
  <si>
    <t>Match Yamaha TF1 (example; not installed-model confirmation). Published power consumption. Console only; external amplifiers and speakers separate. TF3/TF5 differ. Heat estimate assumes input energy is ultimately retained as sensible heat in the zone; no intentional moisture source. Zero latent requires no uncaptured moisture. Match room allocation and duty; count once.</t>
  </si>
  <si>
    <t>Published power consumption</t>
  </si>
  <si>
    <t>Console only; external amplifiers and speakers separate. TF3/TF5 differ. Heat estimate assumes input energy is ultimately retained as sensible heat in the zone; no intentional moisture source.</t>
  </si>
  <si>
    <t>Yamaha TF1 — manufacturer specification</t>
  </si>
  <si>
    <t>https://usa.yamaha.com/products/proaudio/mixers/tf/specs.html</t>
  </si>
  <si>
    <t>Yamaha TF1 (example; not installed-model confirmation)</t>
  </si>
  <si>
    <t>Wireless microphone receiver</t>
  </si>
  <si>
    <t>Match Shure BLX4 current user guide (reference, not installed-model confirmation). DC requirement upper example: 15 V × 0.235 A = 3.525 W. Rounded DC-side estimate; adapter losses additional. Older Shure sheet lists 160 mA; match revision. This is a requirement-based bound, not measured typical. Zero latent requires no uncaptured moisture. Match room allocation and duty; count once.</t>
  </si>
  <si>
    <t>DC requirement upper example: 15 V × 0.235 A = 3.525 W</t>
  </si>
  <si>
    <t>Rounded DC-side estimate; adapter losses additional. Older Shure sheet lists 160 mA; match revision. This is a requirement-based bound, not measured typical.</t>
  </si>
  <si>
    <t>Shure BLX4 current user guide — source below</t>
  </si>
  <si>
    <t>https://www.shure.com/en-US/docs/guide/BLX</t>
  </si>
  <si>
    <t>Shure BLX4 current user guide (reference, not installed-model confirmation)</t>
  </si>
  <si>
    <t>Video production switcher</t>
  </si>
  <si>
    <t>Match Blackmagic ATEM Mini Pro (reference, not installed-model confirmation). Published 30 W power usage; example, not measured typical. Approximate sensible heat if device power becomes heat locally; allow external PSU losses if excluded by specification. Do not add PSU capacity as heat. Zero latent requires no uncaptured moisture. Match room allocation and duty; count once.</t>
  </si>
  <si>
    <t>Published 30 W power usage; example, not measured typical</t>
  </si>
  <si>
    <t>Approximate sensible heat if device power becomes heat locally; allow external PSU losses if excluded by specification. Do not add PSU capacity as heat.</t>
  </si>
  <si>
    <t>Blackmagic ATEM Mini Pro — source below</t>
  </si>
  <si>
    <t>https://www.blackmagicdesign.com/sg/products/atemmini/techspecs</t>
  </si>
  <si>
    <t>Blackmagic ATEM Mini Pro (reference, not installed-model confirmation)</t>
  </si>
  <si>
    <t>Broadcast / streaming workstation</t>
  </si>
  <si>
    <t>Mac Studio2025 M4 Max14CPU/32GPU,36GB/512GB; Compute-intensive maximum. Alternative complete workstation example at20.2°C, not evidence for previous HP Z840. Includes supply losses; capture hardware, monitors and storage separate. Same unit as medium workstation: count once. D is sensible heat estimate; E=0 assumes no moisture released. Confirm model, duty and room allocation before use. Original reference G/H is retained, not the new calculation input.</t>
  </si>
  <si>
    <t>Alternative complete workstation example at20.2°C, not evidence for previous HP Z840. Includes supply losses; capture hardware, monitors and storage separate. Same unit as medium workstation: count once. Previous reference context: 1080 W listed for dual GPU; not typical workstation usage. Source juxtaposes startup watts and maximum-processing heat; confirm sustained heat with vendor before sizing. CPU count and exact configuration must match.</t>
  </si>
  <si>
    <t>Mac Studio2025 M4 Max14CPU/32GPU,36GB/512GB</t>
  </si>
  <si>
    <t>Stage lighting controller</t>
  </si>
  <si>
    <t>Match Jands STAGE 12 lighting console. 12 V DC published consumption. Manufacturer manual hosted by supplier; console only. STAGE24 uses9 W. Add plugpack losses if outside stated DC consumption. Zero latent requires no uncaptured moisture. Match room allocation and duty; count once.</t>
  </si>
  <si>
    <t>12 V DC published consumption</t>
  </si>
  <si>
    <t>Manufacturer manual hosted by supplier; console only. STAGE24 uses9 W. Add plugpack losses if outside stated DC consumption.</t>
  </si>
  <si>
    <t>Jands STAGE 12 lighting console — see source</t>
  </si>
  <si>
    <t>https://warehousesound.au/r/jandsSTAGE12manual.pdf</t>
  </si>
  <si>
    <t>Jands STAGE 12 lighting console</t>
  </si>
  <si>
    <t>Meeting rooms</t>
  </si>
  <si>
    <t>Video conferencing codec</t>
  </si>
  <si>
    <t>Match Cisco Codec EQ (example; not installed-model confirmation). Active meeting. Codec only; add external camera and screens once. Heat inference: real input becomes sensible heat if retained in this zone; no intentional moisture source. Zero latent requires no uncaptured moisture. Match room allocation and duty; count once.</t>
  </si>
  <si>
    <t>Active meeting</t>
  </si>
  <si>
    <t>Codec only; add external camera and screens once. Heat inference: real input becomes sensible heat if retained in this zone; no intentional moisture source.</t>
  </si>
  <si>
    <t>Cisco Codec EQ — manufacturer specification</t>
  </si>
  <si>
    <t>https://www.cisco.com/c/dam/en/us/td/docs/telepresence/endpoint/technical-papers/cisco-collaboration-devices-power-consumption.pdf</t>
  </si>
  <si>
    <t>Meeting / conference</t>
  </si>
  <si>
    <t>Cisco Codec EQ (example; not installed-model confirmation)</t>
  </si>
  <si>
    <t>Room-control processor</t>
  </si>
  <si>
    <t>Match Crestron RMC4 (example; not installed-model confirmation). Published operating consumption. Published heat dissipation 22 BTU/h ≈6.45 W; PoE endpoint. Heat inference: real input becomes sensible heat if retained in this zone; no intentional moisture source. Zero latent requires no uncaptured moisture. Match room allocation and duty; count once.</t>
  </si>
  <si>
    <t>Published operating consumption</t>
  </si>
  <si>
    <t>Published heat dissipation 22 BTU/h ≈6.45 W; PoE endpoint. Heat inference: real input becomes sensible heat if retained in this zone; no intentional moisture source.</t>
  </si>
  <si>
    <t>Crestron RMC4 — manufacturer specification</t>
  </si>
  <si>
    <t>https://www.crestron.com/Products/Catalog/Control-and-Management/Control-System/Wall-Mount/RMC4</t>
  </si>
  <si>
    <t>Crestron RMC4 (example; not installed-model confirmation)</t>
  </si>
  <si>
    <t>Motorised projector screen</t>
  </si>
  <si>
    <t>Match SCREENPRO AJ series motorised screen up to150 inch. Published power consumption during movement. Intermittent motor operation; source separately lists100 W input capacity. Do not treat85 W as continuous while viewing. Zero latent requires no uncaptured moisture. Match room allocation and duty; count once.</t>
  </si>
  <si>
    <t>Published power consumption during movement</t>
  </si>
  <si>
    <t>Intermittent motor operation; source separately lists100 W input capacity. Do not treat85 W as continuous while viewing.</t>
  </si>
  <si>
    <t>SCREENPRO AJ series motorised screen up to150 inch — see source</t>
  </si>
  <si>
    <t>https://www.samsav.com/product/motorized-ust-alr-projector-screen-aj.html</t>
  </si>
  <si>
    <t>SCREENPRO AJ series motorised screen up to150 inch</t>
  </si>
  <si>
    <t>Motor / movement</t>
  </si>
  <si>
    <t>Standby/moving; cycle duration and work destination</t>
  </si>
  <si>
    <t>Electronic blinds controller</t>
  </si>
  <si>
    <t>Match F&amp;F Fox Shutter Wi-STR1S2-P. Upper operating bound &lt;2.2 W; standby &lt;1.2 W. Controller own power only; shutter motor separate. DO NOT use for active-operation hours. Zero latent requires no uncaptured moisture. Match room allocation and duty; count once.</t>
  </si>
  <si>
    <t>Upper operating bound &lt;2.2 W; standby &lt;1.2 W</t>
  </si>
  <si>
    <t>Controller own power only; shutter motor separate.</t>
  </si>
  <si>
    <t>F&amp;F Fox Shutter Wi-STR1S2-P — see source</t>
  </si>
  <si>
    <t>https://www.fif.com.pl/img/cms/katalogi/2024/2024%20FF%20Product%20catalogue%20EN%20v2.pdf</t>
  </si>
  <si>
    <t>F&amp;F Fox Shutter Wi-STR1S2-P</t>
  </si>
  <si>
    <t>Laboratory refrigerator</t>
  </si>
  <si>
    <t>NUMERIC EXAMPLE: 17.58 W (0.01758 kW); EXISTING REFERENCE — scope/state limits apply.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t>
  </si>
  <si>
    <t>Unloaded 5°C cabinet; 20°C ambient</t>
  </si>
  <si>
    <t>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t>
  </si>
  <si>
    <t>Thermo Scientific TSG205SA 52 L — source below</t>
  </si>
  <si>
    <t>https://documents.thermofisher.com/TFS-Assets/LED/Datasheets/TSG205SA-technical-data-sheet.pdf</t>
  </si>
  <si>
    <t>Thermo Scientific TSG205SA 52 L (reference, not installed-model confirmation)</t>
  </si>
  <si>
    <t>Unloaded 5°C cabinet; 20°C ambient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 This retains the original reference, including any unresolved source limitations; it is not newly validated net room heat. REQUIRED: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t>
  </si>
  <si>
    <t>Laboratory freezer — minus 20°C</t>
  </si>
  <si>
    <t>NUMERIC EXAMPLE: 22.22 W (0.02222 kW); EXISTING REFERENCE — scope/state limits apply.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t>
  </si>
  <si>
    <t>Manufacturer heat-emission reference; empty cabinet at −20°C, ambient +25°C test context</t>
  </si>
  <si>
    <t>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t>
  </si>
  <si>
    <t>Liebherr SFTsg 1501 Performance laboratory freezer — see source</t>
  </si>
  <si>
    <t>https://www.liebherr.com/en-ie/p/sftsg-1501-113844-2742470</t>
  </si>
  <si>
    <t>Liebherr SFTsg 1501 Performance laboratory freezer</t>
  </si>
  <si>
    <t>Manufacturer heat-emission reference; empty cabinet at −20°C, ambient +25°C test context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 This retains the original reference, including any unresolved source limitations; it is not newly validated net room heat. REQUIRED: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t>
  </si>
  <si>
    <t>Ultra-low-temperature freezer</t>
  </si>
  <si>
    <t>BINDER UF V500, air-cooled230V50Hz, standard unloaded equipment. Manufacturer steady-test average, NOT design peak, pull-down, warm-product loading or door-opening allowance. Confirm actual job matches test basis; whole air-cooled freezer in room, no water cooling or remote rejection. Use time fraction1 for continuous matched operation: do not apply compressor duty again. Website says21°C; this entry explicitly uses manual20°C. Moisture/defrost or other conditions require separate analysis. E=0 requires no uncaptured moisture. Confirm installed equipment and conditions; no engineering approval implied. G/H retain the earlier reference.</t>
  </si>
  <si>
    <t>Average at −80°C setpoint /20°C ambient (2025 manual)</t>
  </si>
  <si>
    <t>Manufacturer steady-test average, NOT design peak, pull-down, warm-product loading or door-opening allowance. Confirm actual job matches test basis; whole air-cooled freezer in room, no water cooling or remote rejection. Use time fraction1 for continuous matched operation: do not apply compressor duty again. Website says21°C; this entry explicitly uses manual20°C. Moisture/defrost or other conditions require separate analysis. Previous reference/model context (not current D): 1541 BTU/h × 0.293071. Check test loading and ambient against project; not universal freezer load.</t>
  </si>
  <si>
    <t>BINDER UF V(E3)01/2025 manual pp108–109: average heat dissipation330W</t>
  </si>
  <si>
    <t>https://www.binder-world.com/uk-en/?cHash=edffe6a98a8ffa9a47a29e369816cfba&amp;download_asset=806000&amp;skip_asset_track=1</t>
  </si>
  <si>
    <t>BINDER UF V500, air-cooled230V50Hz, standard unloaded equipment</t>
  </si>
  <si>
    <t>Fume cupboard — electrical components</t>
  </si>
  <si>
    <t>USER-REQUESTED HYPOTHETICAL EXAMPLE: 50 W (0.05 kW). Illustrative hood electrical assembly: assumed 20 W lamp + 10 W controller + 20 W supply/other losses, all released locally; fan and laboratory processes excluded. Assumed for illustration, not sourced or project-approved. Sensible/latent split unverified. FC40010 VA is apparent power, not heat in watts. Obtain real input or power factor for the installed controller and a complete list of lamps, sash motors, supplies and fans. Determine what heat enters the exhaust instead of the room. Include motors only in their actual locations; compute outdoor makeup-air load separately. Controller-only data cannot represent a complete fume cupboard. D/E remain blocked.</t>
  </si>
  <si>
    <t>Published10 VA operation; real watts not established</t>
  </si>
  <si>
    <t>FC40010 VA is apparent power, not heat in watts. Obtain real input or power factor for the installed controller and a complete list of lamps, sash motors, supplies and fans. Determine what heat enters the exhaust instead of the room. Include motors only in their actual locations; compute outdoor makeup-air load separately. Controller-only data cannot represent a complete fume cupboard. D/E remain blocked.</t>
  </si>
  <si>
    <t>Schneider Elektronik FC400 — see source</t>
  </si>
  <si>
    <t>https://doc.schneider-elektronik.de/uploads/fc400_td_en.pdf</t>
  </si>
  <si>
    <t>Schneider Elektronik FC400</t>
  </si>
  <si>
    <t>Illustrative hood electrical assembly: assumed 20 W lamp + 10 W controller + 20 W supply/other losses, all released locally; fan and laboratory processes excluded. REQUIRED: FC40010 VA is apparent power, not heat in watts. Obtain real input or power factor for the installed controller and a complete list of lamps, sash motors, supplies and fans. Determine what heat enters the exhaust instead of the room. Include motors only in their actual locations; compute outdoor makeup-air load separately. Controller-only data cannot represent a complete fume cupboard. D/E remain blocked.</t>
  </si>
  <si>
    <t>Biosafety cabinet</t>
  </si>
  <si>
    <t>334.10 W sensible for NuAire NU-543-400,115 V/60 Hz, non-ducted-to-outdoors,10-inch sash opening:1140 BTU/h×0.293071. Cabinet-only example with no extra powered apparatus or evaporating process;0 W latent is that explicit assumption. Add actual process heat/moisture separately. A vented configuration has a different published157 BTU/h (~46.01 W); do not use334.10 W for it or alter required biosafety ventilation to match this example. Confirm installed version; no AU-equivalence or biosafety approval asserted.</t>
  </si>
  <si>
    <t>Non-vented; 10-inch sash opening</t>
  </si>
  <si>
    <t>NuAire NU-543115 V specification, Process9-1219 Rev4 September2017,p4; URL rehosted2026</t>
  </si>
  <si>
    <t>https://www.nuaire.com/wp-content/uploads/2026/03/class-ii-type-a2-biosafety-cabinet-nu-543-115v-spec.pdf</t>
  </si>
  <si>
    <t>NuAire NU-543-400, 115 V (reference, not installed-model confirmation)</t>
  </si>
  <si>
    <t>Laboratory drying oven</t>
  </si>
  <si>
    <t>Match BINDER ED056-230V (reference, not installed-model confirmation). Steady energy consumption at 150°C. 180 Wh/h = 180 W average. Conditional room heat if all losses/exhaust remain indoors; not warm-up (1050 W nominal), drying moisture or peak. Zero latent requires no uncaptured moisture. Match room allocation and duty; count once.</t>
  </si>
  <si>
    <t>Steady energy consumption at 150°C</t>
  </si>
  <si>
    <t>180 Wh/h = 180 W average. Conditional room heat if all losses/exhaust remain indoors; not warm-up (1050 W nominal), drying moisture or peak.</t>
  </si>
  <si>
    <t>BINDER ED056-230V — source below</t>
  </si>
  <si>
    <t>https://www.binder-world.com/uk-en/products/drying-ovens/product/ed-56</t>
  </si>
  <si>
    <t>BINDER ED056-230V (reference, not installed-model confirmation)</t>
  </si>
  <si>
    <t>Vacuum oven</t>
  </si>
  <si>
    <t>Match BINDER VD 23 (reference, not installed-model confirmation). Steady 100°C reference: 140 Wh/h = 140 W. Conditional steady no-process-export heat example; 900 W nominal is warm-up capacity, not steady load. Vacuum pump separate; solvent evaporation/exhaust/process loads require balance. Zero latent requires no uncaptured moisture. Match room allocation and duty; count once.</t>
  </si>
  <si>
    <t>Steady 100°C reference: 140 Wh/h = 140 W</t>
  </si>
  <si>
    <t>Conditional steady no-process-export heat example; 900 W nominal is warm-up capacity, not steady load. Vacuum pump separate; solvent evaporation/exhaust/process loads require balance.</t>
  </si>
  <si>
    <t>BINDER VD 23 — source below</t>
  </si>
  <si>
    <t>https://www.binder-world.com/uk-en/product/vd-23</t>
  </si>
  <si>
    <t>BINDER VD 23 (reference, not installed-model confirmation)</t>
  </si>
  <si>
    <t>Autoclave</t>
  </si>
  <si>
    <t>NUMERIC EXAMPLE: 2250 W (2.25 kW); EXISTING REFERENCE — scope/state limits apply.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t>
  </si>
  <si>
    <t>Maximum-load hourly heat emission2.25 kWh per hour =2.25 kW</t>
  </si>
  <si>
    <t>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t>
  </si>
  <si>
    <t>MELAG Vacuclave 550 — see source</t>
  </si>
  <si>
    <t>https://global.melag.com/sites/default/files/ba_vc550_en_1.pdf</t>
  </si>
  <si>
    <t>MELAG Vacuclave 550</t>
  </si>
  <si>
    <t>Maximum-load hourly heat emission2.25 kWh per hour =2.25 kW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 This retains the original reference, including any unresolved source limitations; it is not newly validated net room heat. REQUIRED: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t>
  </si>
  <si>
    <t>Laboratory water bath</t>
  </si>
  <si>
    <t>NUMERIC EXAMPLE: 33 W (0.033 kW); EXISTING REFERENCE — scope/state limits apply.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t>
  </si>
  <si>
    <t>WTB35 steady state37°C, flat lid; total heat only</t>
  </si>
  <si>
    <t>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t>
  </si>
  <si>
    <t>Memmert WTB performance data D49239,08/2021,pp2 and5</t>
  </si>
  <si>
    <t>https://www.memmertusa.com/Content/files/ProductLibrary/UserManuals/D49239-PD-WTB-EN.pdf</t>
  </si>
  <si>
    <t>Measured steady-state total; sensible/latent split unresolved</t>
  </si>
  <si>
    <t>33 W steady-state test input; not heater rating</t>
  </si>
  <si>
    <t>Memmert WTB35; alternative model, not Thermo Precision182</t>
  </si>
  <si>
    <t>37°C steady state, flat lid,22±3°C ambient</t>
  </si>
  <si>
    <t>WTB35 steady state37°C, flat lid; total heat only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 This retains the original reference, including any unresolved source limitations; it is not newly validated net room heat. REQUIRED: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t>
  </si>
  <si>
    <t>Hotplate / magnetic stirrer</t>
  </si>
  <si>
    <t>NUMERIC EXAMPLE: 650 W (0.65 kW); ELECTRICAL INPUT — not established room heat.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t>
  </si>
  <si>
    <t>Rated input; heater 600 W</t>
  </si>
  <si>
    <t>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t>
  </si>
  <si>
    <t>IKA RCT basic ready-to-go 10011525 — source below</t>
  </si>
  <si>
    <t>https://www.ika.com/ika/datasheet/download?iLang=1&amp;iProduct=10011525</t>
  </si>
  <si>
    <t>IKA RCT basic ready-to-go 10011525 (reference, not installed-model confirmation)</t>
  </si>
  <si>
    <t>Existing electrical reference for Hotplate / magnetic stirrer: 650 W.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 This is not a measured sensible/latent room load. Only a closed energy balance can justify equating it to eventual total heat; external steam, refrigerant, fluid, work, storage and exhaust can change that result. REQUIRED: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t>
  </si>
  <si>
    <t>Laboratory heating mantle</t>
  </si>
  <si>
    <t>NUMERIC EXAMPLE: 400 W (0.4 kW); ELECTRICAL INPUT — not established room heat.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t>
  </si>
  <si>
    <t>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t>
  </si>
  <si>
    <t>Labnics NTSM-101 500 mL mantle — source below</t>
  </si>
  <si>
    <t>https://www.labnics.com/catalog/thermostatic-heating-mantle/ntsm-101</t>
  </si>
  <si>
    <t>Labnics NTSM-101 500 mL mantle (reference, not installed-model confirmation)</t>
  </si>
  <si>
    <t>Existing electrical reference for Laboratory heating mantle: 400 W.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 This is not a measured sensible/latent room load. Only a closed energy balance can justify equating it to eventual total heat; external steam, refrigerant, fluid, work, storage and exhaust can change that result. REQUIRED: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t>
  </si>
  <si>
    <t>Laboratory centrifuge — refrigerated</t>
  </si>
  <si>
    <t>Match Eppendorf CR30NX refrigerated floor-standing centrifuge — 208 V reference. Published heat output — large refrigerated centrifuge. Manufacturer specifies 1.2 kW heat output and 1.5 kW maximum electrical input. Large 310 kg, up-to-6 L floor unit; not a small 5425 R microcentrifuge. Published thermal reference, not a measured typical cycle. Confirm rotor, speed, temperature, duty and AU supply variant. Zero latent requires no uncaptured moisture. Match room allocation and duty; count once.</t>
  </si>
  <si>
    <t>Published heat output — large refrigerated centrifuge</t>
  </si>
  <si>
    <t>Manufacturer specifies 1.2 kW heat output and 1.5 kW maximum electrical input. Large 310 kg, up-to-6 L floor unit; not a small 5425 R microcentrifuge. Published thermal reference, not a measured typical cycle. Confirm rotor, speed, temperature, duty and AU supply variant.</t>
  </si>
  <si>
    <t>Eppendorf CR30NX — Technical data and specifications</t>
  </si>
  <si>
    <t>https://www.eppendorf.com/us-en/Products/Centrifugation/High-Speed-Centrifuges/Centrifuge-CR30NX-p-PF-923312</t>
  </si>
  <si>
    <t>Approximate reference — not project approved</t>
  </si>
  <si>
    <t>Eppendorf CR30NX refrigerated floor-standing centrifuge — 208 V reference</t>
  </si>
  <si>
    <t>Source checked 2026-10-17; model/operating conditions require project review</t>
  </si>
  <si>
    <t>Spectrophotometer</t>
  </si>
  <si>
    <t>Match Thermo Scientific NanoDrop One (example; not installed-model confirmation). Upper end of 12–18 W operating range. Instrument only; no separate printer/PC included. Heat inference: real input becomes sensible heat if retained in this zone; no intentional moisture source. Zero latent requires no uncaptured moisture. Match room allocation and duty; count once.</t>
  </si>
  <si>
    <t>Upper end of 12–18 W operating range</t>
  </si>
  <si>
    <t>Instrument only; no separate printer/PC included. Heat inference: real input becomes sensible heat if retained in this zone; no intentional moisture source.</t>
  </si>
  <si>
    <t>Thermo Scientific NanoDrop One — manufacturer specification</t>
  </si>
  <si>
    <t>https://www.thermofisher.com/order/catalog/product/cn/en/840-317400</t>
  </si>
  <si>
    <t>Thermo Scientific NanoDrop One (example; not installed-model confirmation)</t>
  </si>
  <si>
    <t>HPLC / chromatography system</t>
  </si>
  <si>
    <t>CONDITIONAL — stated configuration</t>
  </si>
  <si>
    <t>575 W sensible upper planning example for exactly G1379B+G1311B+G1329B+G1316A+G1314B (30+110+200+150+85 W). Agilent lists maximum real power and a heat-conversion method; this is not typical measured use. Confirm fitted compatible modules. All module heat must remain in this room; no material solvent/water heat export or uncaptured moisture. Add computer/chiller and required extraction separately, once. Zero latent is an explicit dry-equipment assumption.</t>
  </si>
  <si>
    <t>Five specified modules; maximum real-power sum, not typical average</t>
  </si>
  <si>
    <t>Agilent SD-29001821 Rev2.8,10-Feb2020,p7: maximum real-power table and heat conversion</t>
  </si>
  <si>
    <t>https://www.agilent.com/cs/library/sitepreparationchecklists/1260-1290Infinity_SitePrepChecklist.pdf</t>
  </si>
  <si>
    <t>Published basis; conditional sensible allocation, zero-moisture assumption; project review required</t>
  </si>
  <si>
    <t>Agilent example: G1379B + G1311B + G1329B + G1316A + G1314B (reference, not installed-model confirmation)</t>
  </si>
  <si>
    <t>Calculated sum of module maximum real inputs</t>
  </si>
  <si>
    <t>Guidance reviewed19 Oct2026; see source and limits; no engineering approval asserted.</t>
  </si>
  <si>
    <t>Mass spectrometer</t>
  </si>
  <si>
    <t>Thermo iCAP Q at50Hz: approx2400W room heat during analysis WITH active plasma exhaust; chiller outside lab or on house water; forepump, computer and monitor inside. Published average, not design peak. Includes approx1100W pump,470W computer,35W monitor: do NOT add these separately. Additional heat extraction gives different load. E=0 requires all process moisture captured/exhausted. Exhaust makeup-air load separate. Alternative system to earlier Orbitrap reference; confirm installed equipment and layout.</t>
  </si>
  <si>
    <t>During analysis; specified exhaust and remote/house-water chiller</t>
  </si>
  <si>
    <t>Thermo Fisher iCAP Q Preinstallation Requirements Guide RevB, Table3-5 p3-7</t>
  </si>
  <si>
    <t>https://assets.thermofisher.com/TFS-Assets/CMD/Product-Guides/1288021-iCAP-Q-Preinstallation-Requirements-Guide-Rev-B-single-phase.pdf</t>
  </si>
  <si>
    <t>Manufacturer approximate room-heat example; not engineering approval</t>
  </si>
  <si>
    <t>Thermo iCAP Q system,50Hz; Table3-5 arrangement</t>
  </si>
  <si>
    <t>Analysis average, active plasma exhaust, remote chiller</t>
  </si>
  <si>
    <t>Checked18 Oct2026; room arrangement and model must match</t>
  </si>
  <si>
    <t>Laboratory vacuum pump</t>
  </si>
  <si>
    <t>Match Thermo iCAP Q system fore-vacuum pump — 50 Hz reference. Manufacturer estimated average room heat during analysis, 50 Hz. Reference changed from the small VACUUBRAND MD 1C to the fore-vacuum pump in the Thermo iCAP Q system. 1100 W applies to this larger pump installed in the laboratory, not all laboratory pumps. Do not add again if included in a complete iCAP system allowance. Zero latent requires no uncaptured moisture. Match room allocation and duty; count once.</t>
  </si>
  <si>
    <t>Manufacturer estimated average room heat during analysis, 50 Hz</t>
  </si>
  <si>
    <t>Reference changed from the small VACUUBRAND MD 1C to the fore-vacuum pump in the Thermo iCAP Q system. 1100 W applies to this larger pump installed in the laboratory, not all laboratory pumps. Do not add again if included in a complete iCAP system allowance.</t>
  </si>
  <si>
    <t>Thermo Fisher Scientific iCAP Q preinstallation guide, revision B (2012), Table 3-4, printed p.3-6</t>
  </si>
  <si>
    <t>Sourced reference — project review required</t>
  </si>
  <si>
    <t>Thermo iCAP Q system fore-vacuum pump — 50 Hz reference</t>
  </si>
  <si>
    <t>Analysis running; pump located in laboratory</t>
  </si>
  <si>
    <t>Manufacturer heat data / stated conversion; checked 2026-10-18. Not engineering-approved.</t>
  </si>
  <si>
    <t>Laboratory compressor</t>
  </si>
  <si>
    <t>USER-REQUESTED HYPOTHETICAL EXAMPLE: 200 W (0.2 kW). Illustrative compressor: assumed 1,000 W input with 800 W carried away in compressed air/cooling, leaving 200 W locally; selected energy balance, not a typical fraction. Assumed for illustration, not sourced or project-approved. Sensible/latent split unverified. Need compressor model, real input while loaded/unloaded, pressure, duty and aftercooler location. Separate casing/motor heat from energy carried in discharged compressed air; allocate eventual dissipation to the correct room. Include dryer and receiver losses only if inside the boundary. Motor rating or generic compressor size cannot supply a room-heat number; D/E remain blocked.</t>
  </si>
  <si>
    <t>Need compressor model, real input while loaded/unloaded, pressure, duty and aftercooler location. Separate casing/motor heat from energy carried in discharged compressed air; allocate eventual dissipation to the correct room. Include dryer and receiver losses only if inside the boundary. Motor rating or generic compressor size cannot supply a room-heat number; D/E remain blocked.</t>
  </si>
  <si>
    <t>No installed model specified — Laboratory compressor — see source</t>
  </si>
  <si>
    <t>No installed model specified — Laboratory compressor</t>
  </si>
  <si>
    <t>Illustrative compressor: assumed 1,000 W input with 800 W carried away in compressed air/cooling, leaving 200 W locally; selected energy balance, not a typical fraction. REQUIRED: Need compressor model, real input while loaded/unloaded, pressure, duty and aftercooler location. Separate casing/motor heat from energy carried in discharged compressed air; allocate eventual dissipation to the correct room. Include dryer and receiver losses only if inside the boundary. Motor rating or generic compressor size cannot supply a room-heat number; D/E remain blocked.</t>
  </si>
  <si>
    <t>Purified water system</t>
  </si>
  <si>
    <t>USER-REQUESTED HYPOTHETICAL EXAMPLE: 100 W (0.1 kW). Illustrative water purifier: assumed 150 W real input minus 50 W exported in water =100 W local heat. Does not resolve the existing W-versus-VA source conflict. Assumed for illustration, not sourced or project-approved. Sensible/latent split unverified. Do not resolve the existing350 W versus350 VA conflict by treating the units as equivalent. Obtain manufacturer clarification or measured real input for the exact Milli-Q IQ7000 and operating mode. Record production/recirculation duty, inlet/outlet water temperature and remote reservoirs. Water can export heat. No confirmed sensible/latent room value; D/E remain blocked.</t>
  </si>
  <si>
    <t>Unresolved W versus VA specification; request manufacturer clarification</t>
  </si>
  <si>
    <t>Do not resolve the existing350 W versus350 VA conflict by treating the units as equivalent. Obtain manufacturer clarification or measured real input for the exact Milli-Q IQ7000 and operating mode. Record production/recirculation duty, inlet/outlet water temperature and remote reservoirs. Water can export heat. No confirmed sensible/latent room value; D/E remain blocked.</t>
  </si>
  <si>
    <t>Milli-Q IQ 7000 — conflicting electrical units in published sources — see source</t>
  </si>
  <si>
    <t>https://www.sigmaaldrich.com/JP/ja/campaigns/lab-water/milli-q-magazine-digital-jp/iq-7000-jp</t>
  </si>
  <si>
    <t>Research complete — project inputs required</t>
  </si>
  <si>
    <t>Milli-Q IQ 7000 — conflicting electrical units in published sources</t>
  </si>
  <si>
    <t>Illustrative water purifier: assumed 150 W real input minus 50 W exported in water =100 W local heat. Does not resolve the existing W-versus-VA source conflict. REQUIRED: Do not resolve the existing350 W versus350 VA conflict by treating the units as equivalent. Obtain manufacturer clarification or measured real input for the exact Milli-Q IQ7000 and operating mode. Record production/recirculation duty, inlet/outlet water temperature and remote reservoirs. Water can export heat. No confirmed sensible/latent room value; D/E remain blocked.</t>
  </si>
  <si>
    <t>Medical</t>
  </si>
  <si>
    <t>Ultrasound machine</t>
  </si>
  <si>
    <t>Match ASHRAE measured example: Ultrasound system (reference, not installed-model confirmation). Table 9 average heat gain; historical Hosni et al. measurements. Reference measurement reproduced in 2025 handbook, not modern installed-model confirmation. Peak/duty can differ; treadmill excludes person heat. X-ray generator output kW is not average room gain. Zero latent requires no uncaptured moisture. Match room allocation and duty; count once.</t>
  </si>
  <si>
    <t>Table 9 average heat gain; historical Hosni et al. measurements</t>
  </si>
  <si>
    <t>Reference measurement reproduced in 2025 handbook, not modern installed-model confirmation. Peak/duty can differ; treadmill excludes person heat. X-ray generator output kW is not average room gain.</t>
  </si>
  <si>
    <t>ASHRAE measured example: Ultrasound system — source below</t>
  </si>
  <si>
    <t>Hospital / clinic / healthcare</t>
  </si>
  <si>
    <t>ASHRAE measured example: Ultrasound system (reference, not installed-model confirmation)</t>
  </si>
  <si>
    <t>X-ray equipment</t>
  </si>
  <si>
    <t>Match ASHRAE measured example: X-ray system; 1725 W nameplate (reference, not installed-model confirmation). Table 9 average heat gain; historical Hosni et al. measurements. Reference measurement reproduced in 2025 handbook, not modern installed-model confirmation. Peak/duty can differ; treadmill excludes person heat. X-ray generator output kW is not average room gain. Zero latent requires no uncaptured moisture. Match room allocation and duty; count once.</t>
  </si>
  <si>
    <t>ASHRAE measured example: X-ray system; 1725 W nameplate — source below</t>
  </si>
  <si>
    <t>ASHRAE measured example: X-ray system; 1725 W nameplate (reference, not installed-model confirmation)</t>
  </si>
  <si>
    <t>CT scanner</t>
  </si>
  <si>
    <t>BLOCKED — system boundary</t>
  </si>
  <si>
    <t>NUMERIC EXAMPLE: 8500 W (8.5 kW); EXISTING REFERENCE — scope/state limits apply.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t>
  </si>
  <si>
    <t>Published system heat-dissipation allowance</t>
  </si>
  <si>
    <t>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t>
  </si>
  <si>
    <t>Siemens SOMATOM Perspective — manufacturer specification</t>
  </si>
  <si>
    <t>https://www.siemens-healthineers.com/nl-be/computed-tomography/single-source-ct/somatom-perspective</t>
  </si>
  <si>
    <t>Siemens SOMATOM Perspective (example; not installed-model confirmation)</t>
  </si>
  <si>
    <t>Published system heat-dissipation allowance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 This retains the original reference, including any unresolved source limitations; it is not newly validated net room heat. REQUIRED: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t>
  </si>
  <si>
    <t>MRI scanner</t>
  </si>
  <si>
    <t>NUMERIC EXAMPLE: 1000 W (1 kW); EXISTING REFERENCE — scope/state limits apply.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t>
  </si>
  <si>
    <t>Published magnet heat to air; measurement-dependent planning reference</t>
  </si>
  <si>
    <t>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t>
  </si>
  <si>
    <t>Siemens MAGNETOM Free.Max — magnet contribution only — source below</t>
  </si>
  <si>
    <t>https://content.doclib.siemens-healthineers.com/rest/v1/view?document-id=810413</t>
  </si>
  <si>
    <t>Siemens MAGNETOM Free.Max — magnet contribution only</t>
  </si>
  <si>
    <t>Published magnet heat to air; measurement-dependent planning reference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 This retains the original reference, including any unresolved source limitations; it is not newly validated net room heat. REQUIRED: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t>
  </si>
  <si>
    <t>Medical examination light</t>
  </si>
  <si>
    <t>Match Brandon Medical Coolview CLED23 (reference, not installed-model confirmation). Published true electrical input. 21 W real input, not 25 VA. Conditional room heat when light and supply losses remain in zone. Zero latent requires no uncaptured moisture. Match room allocation and duty; count once.</t>
  </si>
  <si>
    <t>Published true electrical input</t>
  </si>
  <si>
    <t>21 W real input, not 25 VA. Conditional room heat when light and supply losses remain in zone.</t>
  </si>
  <si>
    <t>Brandon Medical Coolview CLED23 — source below</t>
  </si>
  <si>
    <t>https://www.brandon-medical.com/content/uploads/web-Brandon-Medical-COOLVIEW-Apr23-B6-111-0021.pdf</t>
  </si>
  <si>
    <t>Brandon Medical Coolview CLED23 (reference, not installed-model confirmation)</t>
  </si>
  <si>
    <t>Patient monitoring equipment</t>
  </si>
  <si>
    <t>Match ASHRAE measured example: ECG/respiration monitor (reference, not installed-model confirmation). Table 9 average heat gain; historical Hosni et al. measurements. Reference measurement reproduced in 2025 handbook, not modern installed-model confirmation. Peak/duty can differ; treadmill excludes person heat. X-ray generator output kW is not average room gain. Zero latent requires no uncaptured moisture. Match room allocation and duty; count once.</t>
  </si>
  <si>
    <t>ASHRAE measured example: ECG/respiration monitor — source below</t>
  </si>
  <si>
    <t>ASHRAE measured example: ECG/respiration monitor (reference, not installed-model confirmation)</t>
  </si>
  <si>
    <t>Dental chair and equipment</t>
  </si>
  <si>
    <t>NUMERIC EXAMPLE: 250 W (0.25 kW); EXISTING REFERENCE — scope/state limits apply.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t>
  </si>
  <si>
    <t>Manufacturer average heat emission: 900 kJ/h ÷ 3.6 = 250 W</t>
  </si>
  <si>
    <t>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t>
  </si>
  <si>
    <t>KaVo ESTETICA E30 instructions for use, section 3.10, printed p.34; manufacturer manual reproduced by Manualzz</t>
  </si>
  <si>
    <t>https://manualzz.com/doc/o/2b9c5d/kavo-estetica-e30-instructions-for-use-3.10technical-data</t>
  </si>
  <si>
    <t>Not specified in real watts</t>
  </si>
  <si>
    <t>KaVo ESTETICA E30 treatment unit — reference configuration</t>
  </si>
  <si>
    <t>Manufacturer average; configuration and duty require confirmation</t>
  </si>
  <si>
    <t>Manufacturer average heat emission: 900 kJ/h ÷ 3.6 = 250 W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 This retains the original reference, including any unresolved source limitations; it is not newly validated net room heat. REQUIRED: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t>
  </si>
  <si>
    <t>Dental compressor / suction unit</t>
  </si>
  <si>
    <t>USER-REQUESTED HYPOTHETICAL EXAMPLE: 500 W (0.5 kW). Illustrative combined dental compressor/suction assembly: assumed 2,000 W real input minus 1,500 W exported by air/water =500 W local heat; actual duty unknown. Assumed for illustration, not sourced or project-approved. Sensible/latent split unverified. Need actual compressor and suction models, simultaneously occupied chairs, run/load duty, aftercooler and exhaust location. Separate casing heat from energy exported in air, suction exhaust, water and waste. Include separate dryer/receiver only once. A motor kW or number of chairs is insufficient. D/E remain blocked.</t>
  </si>
  <si>
    <t>Need actual compressor and suction models, simultaneously occupied chairs, run/load duty, aftercooler and exhaust location. Separate casing heat from energy exported in air, suction exhaust, water and waste. Include separate dryer/receiver only once. A motor kW or number of chairs is insufficient. D/E remain blocked.</t>
  </si>
  <si>
    <t>No installed model specified — Dental compressor / suction unit — see source</t>
  </si>
  <si>
    <t>https://www.duerrdental.com/en/products/compressed-air/devices/tornado-compressors/</t>
  </si>
  <si>
    <t>No installed model specified — Dental compressor / suction unit</t>
  </si>
  <si>
    <t>Illustrative combined dental compressor/suction assembly: assumed 2,000 W real input minus 1,500 W exported by air/water =500 W local heat; actual duty unknown. REQUIRED: Need actual compressor and suction models, simultaneously occupied chairs, run/load duty, aftercooler and exhaust location. Separate casing heat from energy exported in air, suction exhaust, water and waste. Include separate dryer/receiver only once. A motor kW or number of chairs is insufficient. D/E remain blocked.</t>
  </si>
  <si>
    <t>Medical refrigerator</t>
  </si>
  <si>
    <t>NUMERIC EXAMPLE: 134.81 W (0.13481 kW); EXISTING REFERENCE — scope/state limits apply.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t>
  </si>
  <si>
    <t>Manufacturer heat-emission example</t>
  </si>
  <si>
    <t>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t>
  </si>
  <si>
    <t>Helmer HPR105-GX pharmacy refrigerator — source below</t>
  </si>
  <si>
    <t>https://www.helmerinc.com/sites/default/files/2022-02/HPR105-GX-Technical-Data-Sheet-380413-1.pdf</t>
  </si>
  <si>
    <t>Helmer HPR105-GX pharmacy refrigerator (reference, not installed-model confirmation)</t>
  </si>
  <si>
    <t>Manufacturer heat-emission example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 This retains the original reference, including any unresolved source limitations; it is not newly validated net room heat. REQUIRED: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t>
  </si>
  <si>
    <t>Medical steriliser</t>
  </si>
  <si>
    <t>NUMERIC EXAMPLE: 2250 W (2.25 kW); EXISTING REFERENCE — scope/state limits apply.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t>
  </si>
  <si>
    <t>Maximum-load hourly heat emission2.25 kWh per hour</t>
  </si>
  <si>
    <t>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t>
  </si>
  <si>
    <t>MELAG Vacuclave 550 steam steriliser — see source</t>
  </si>
  <si>
    <t>MELAG Vacuclave 550 steam steriliser</t>
  </si>
  <si>
    <t>Maximum-load hourly heat emission2.25 kWh per hour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 This retains the original reference, including any unresolved source limitations; it is not newly validated net room heat. REQUIRED: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t>
  </si>
  <si>
    <t>Pharmacy refrigerator</t>
  </si>
  <si>
    <t>NUMERIC EXAMPLE: 134.81 W (0.13481 kW); EXISTING REFERENCE — scope/state limits apply.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t>
  </si>
  <si>
    <t>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t>
  </si>
  <si>
    <t>Manufacturer heat-emission example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 This retains the original reference, including any unresolved source limitations; it is not newly validated net room heat. REQUIRED: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t>
  </si>
  <si>
    <t>Bench grinder</t>
  </si>
  <si>
    <t>Match Bosch GBG 35-15 (reference, not installed-model confirmation). Manufacturer operating/rated example; see qualification. Rated input P1, not 240 W shaft output. Conditional eventual heat if motor and grinding energy remain in room; extraction/export changes this. Zero latent requires no uncaptured moisture. Match room allocation and duty; count once.</t>
  </si>
  <si>
    <t>Manufacturer operating/rated example; see qualification</t>
  </si>
  <si>
    <t>Rated input P1, not 240 W shaft output. Conditional eventual heat if motor and grinding energy remain in room; extraction/export changes this.</t>
  </si>
  <si>
    <t>Bosch GBG 35-15 — source below</t>
  </si>
  <si>
    <t>https://www.bosch-professional.com/binary/manualsmedia/o518745v21_160992AA24_202411.pdf</t>
  </si>
  <si>
    <t>Bosch GBG 35-15 (reference, not installed-model confirmation)</t>
  </si>
  <si>
    <t>Drill press</t>
  </si>
  <si>
    <t>Match Bosch PBD 40 (reference, not installed-model confirmation). Manufacturer operating/rated example; see qualification. Rated input; bench/column drill example. Conditional eventual retained motor and drilling heat; not average duty. Zero latent requires no uncaptured moisture. Match room allocation and duty; count once.</t>
  </si>
  <si>
    <t>Rated input; bench/column drill example. Conditional eventual retained motor and drilling heat; not average duty.</t>
  </si>
  <si>
    <t>Bosch PBD 40 — source below</t>
  </si>
  <si>
    <t>https://www.bosch-diy.com/at/de/p/pbd-40-0603b07000</t>
  </si>
  <si>
    <t>Bosch PBD 40 (reference, not installed-model confirmation)</t>
  </si>
  <si>
    <t>Bench drill</t>
  </si>
  <si>
    <t>Cordless tool charging station</t>
  </si>
  <si>
    <t>Match ASHRAE40 V battery-charger test example. Highest recorded15-minute heat-gain interval. 19 W published reference for one40 V charger. Replaces unrelated3.6 V screwdriver input example. A charging station with multiple devices requires counts and matching charge states. Zero latent requires no uncaptured moisture. Match room allocation and duty; count once.</t>
  </si>
  <si>
    <t>Highest recorded15-minute heat-gain interval</t>
  </si>
  <si>
    <t>19 W published reference for one40 V charger. Replaces unrelated3.6 V screwdriver input example. A charging station with multiple devices requires counts and matching charge states.</t>
  </si>
  <si>
    <t>ASHRAE40 V battery-charger test example — see source</t>
  </si>
  <si>
    <t>ASHRAE40 V battery-charger test example</t>
  </si>
  <si>
    <t>Published heat example; checked2026-10-16</t>
  </si>
  <si>
    <t>Soldering fume extractor</t>
  </si>
  <si>
    <t>Match Weller Zero Smog EL (reference, not installed-model confirmation). Manufacturer operating/rated example; see qualification. Recirculating extraction unit; motor/filter energy remains indoors. Source distinguishes 110 W from 120 VA. Zero latent requires no uncaptured moisture. Match room allocation and duty; count once.</t>
  </si>
  <si>
    <t>Recirculating extraction unit; motor/filter energy remains indoors. Source distinguishes 110 W from 120 VA.</t>
  </si>
  <si>
    <t>Weller Zero Smog EL — source below</t>
  </si>
  <si>
    <t>https://www.weller-tools.com/sites/default/files/products/documents/WEL_ZeroSmog_EL_T0055740802_web.pdf</t>
  </si>
  <si>
    <t>Weller Zero Smog EL (reference, not installed-model confirmation)</t>
  </si>
  <si>
    <t>Welding machine</t>
  </si>
  <si>
    <t>Match Fronius TransPocket 150 TIG. Idle at 230 V; switched on but not welding. Manufacturer idle input 15 W becomes local sensible heat. Not an active-welding allowance. During welding, power-source losses, arc/workpiece heat, exhaust removal and duty require separate calculation; do not size cooling using idle watts. DO NOT use for active-operation hours. Zero latent requires no uncaptured moisture. Match room allocation and duty; count once.</t>
  </si>
  <si>
    <t>Idle at 230 V; switched on but not welding</t>
  </si>
  <si>
    <t>Manufacturer idle input 15 W becomes local sensible heat. Not an active-welding allowance. During welding, power-source losses, arc/workpiece heat, exhaust removal and duty require separate calculation; do not size cooling using idle watts.</t>
  </si>
  <si>
    <t>Fronius TransPocket 150 TIG — source below</t>
  </si>
  <si>
    <t>https://manuals.fronius.com/html/4204260207/en.html</t>
  </si>
  <si>
    <t>Fronius TransPocket 150 TIG</t>
  </si>
  <si>
    <t>Plasma cutter</t>
  </si>
  <si>
    <t>Match Hypertherm Powermax30/33 XP plasma cutter. Published idle-state consumption; no cutting arc. Operator manual 808160 Rev5 gives 11 W idle power. Approximate idle local sensible heat only. Cutting power, workpiece heat, compressed air and extraction are separate; not an active-cutting or full workshop allowance. DO NOT use for active-operation hours. Zero latent requires no uncaptured moisture. Match room allocation and duty; count once.</t>
  </si>
  <si>
    <t>Published idle-state consumption; no cutting arc</t>
  </si>
  <si>
    <t>Operator manual 808160 Rev5 gives 11 W idle power. Approximate idle local sensible heat only. Cutting power, workpiece heat, compressed air and extraction are separate; not an active-cutting or full workshop allowance.</t>
  </si>
  <si>
    <t>Hypertherm Powermax30/33 XP plasma cutter — source below</t>
  </si>
  <si>
    <t>https://xnet.hypertherm.com/Xnet/library/download/?file=HYP117508</t>
  </si>
  <si>
    <t>Hypertherm Powermax30/33 XP plasma cutter</t>
  </si>
  <si>
    <t>CNC router</t>
  </si>
  <si>
    <t>USER-REQUESTED HYPOTHETICAL EXAMPLE: 2000 W (2 kW). Illustrative CNC router: assumed 3,000 W average real input minus 1,000 W heat/work exported in chips, coolant and exhaust =2,000 W local total heat. Assumed for illustration, not sourced or project-approved. Sensible/latent split unverified. Need CNC router model and time-resolved input for spindle, axes, drives, controls and auxiliaries. Identify chip/material heat exported, extraction and remote cooling. Spindle shaft-output kW is not whole-machine electrical input or local heat. Base the design hour on actual machining/idle duty; do not add drive losses twice. D/E remain blocked.</t>
  </si>
  <si>
    <t>Need CNC router model and time-resolved input for spindle, axes, drives, controls and auxiliaries. Identify chip/material heat exported, extraction and remote cooling. Spindle shaft-output kW is not whole-machine electrical input or local heat. Base the design hour on actual machining/idle duty; do not add drive losses twice. D/E remain blocked.</t>
  </si>
  <si>
    <t>No installed model specified — CNC router — see source</t>
  </si>
  <si>
    <t>No installed model specified — CNC router</t>
  </si>
  <si>
    <t>Illustrative CNC router: assumed 3,000 W average real input minus 1,000 W heat/work exported in chips, coolant and exhaust =2,000 W local total heat. REQUIRED: Need CNC router model and time-resolved input for spindle, axes, drives, controls and auxiliaries. Identify chip/material heat exported, extraction and remote cooling. Spindle shaft-output kW is not whole-machine electrical input or local heat. Base the design hour on actual machining/idle duty; do not add drive losses twice. D/E remain blocked.</t>
  </si>
  <si>
    <t>CNC milling machine</t>
  </si>
  <si>
    <t>Match Roland MDX-50 benchtop CNC mill (reference, not installed-model confirmation). Published approximate consumption. Small teaching/prototyping mill example, not industrial machining centre. Heat estimate assumes work, chips and machine losses retained locally; extraction separate. Zero latent requires no uncaptured moisture. Match room allocation and duty; count once.</t>
  </si>
  <si>
    <t>Published approximate consumption</t>
  </si>
  <si>
    <t>Small teaching/prototyping mill example, not industrial machining centre. Heat estimate assumes work, chips and machine losses retained locally; extraction separate.</t>
  </si>
  <si>
    <t>Roland MDX-50 benchtop CNC mill — source below</t>
  </si>
  <si>
    <t>https://www.rolanddg.com/products/milling-machines/mdx-50-benchtop-cnc-mill/specifications</t>
  </si>
  <si>
    <t>Roland MDX-50 benchtop CNC mill (reference, not installed-model confirmation)</t>
  </si>
  <si>
    <t>CNC lathe</t>
  </si>
  <si>
    <t>USER-REQUESTED HYPOTHETICAL EXAMPLE: 3000 W (3 kW). Illustrative CNC lathe: assumed 5,000 W average real input minus 2,000 W exported in material/coolant =3,000 W local total heat. Assumed for illustration, not sourced or project-approved. Sensible/latent split unverified. Need CNC lathe model, spindle/axis/auxiliary real power, duty and coolant heat removal. Hot chips/workpieces and remote coolant chillers transfer heat outside the local boundary. Use manufacturer room emissions or a documented machine energy balance; no generic motor-to-room factor. D/E remain blocked.</t>
  </si>
  <si>
    <t>Need CNC lathe model, spindle/axis/auxiliary real power, duty and coolant heat removal. Hot chips/workpieces and remote coolant chillers transfer heat outside the local boundary. Use manufacturer room emissions or a documented machine energy balance; no generic motor-to-room factor. D/E remain blocked.</t>
  </si>
  <si>
    <t>No installed model specified — CNC lathe — see source</t>
  </si>
  <si>
    <t>No installed model specified — CNC lathe</t>
  </si>
  <si>
    <t>Illustrative CNC lathe: assumed 5,000 W average real input minus 2,000 W exported in material/coolant =3,000 W local total heat. REQUIRED: Need CNC lathe model, spindle/axis/auxiliary real power, duty and coolant heat removal. Hot chips/workpieces and remote coolant chillers transfer heat outside the local boundary. Use manufacturer room emissions or a documented machine energy balance; no generic motor-to-room factor. D/E remain blocked.</t>
  </si>
  <si>
    <t>Laser cutting machine</t>
  </si>
  <si>
    <t>NUMERIC EXAMPLE: 830 W (0.83 kW); ELECTRICAL INPUT — not established room heat.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t>
  </si>
  <si>
    <t>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t>
  </si>
  <si>
    <t>Existing electrical reference for Laser cutting machine: 830 W.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 This is not a measured sensible/latent room load. Only a closed energy balance can justify equating it to eventual total heat; external steam, refrigerant, fluid, work, storage and exhaust can change that result. REQUIRED: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t>
  </si>
  <si>
    <t>Air compressor</t>
  </si>
  <si>
    <t>NUMERIC EXAMPLE: 85 W (0.085 kW); ELECTRICAL INPUT — not established room heat.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t>
  </si>
  <si>
    <t>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t>
  </si>
  <si>
    <t>Nitto Kohki AC0902 230 V CE — source below</t>
  </si>
  <si>
    <t>https://www.nitto-kohki.co.jp/apps/prd/search/syousai?dlcflg=1&amp;dlkbn=3&amp;groupcd=L&amp;lang=en&amp;seihincd=LA70581</t>
  </si>
  <si>
    <t>Nitto Kohki AC0902 230 V CE (reference, not installed-model confirmation)</t>
  </si>
  <si>
    <t>Existing electrical reference for Air compressor: 85 W.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 This is not a measured sensible/latent room load. Only a closed energy balance can justify equating it to eventual total heat; external steam, refrigerant, fluid, work, storage and exhaust can change that result. REQUIRED: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t>
  </si>
  <si>
    <t>Industrial extraction unit</t>
  </si>
  <si>
    <t>NUMERIC EXAMPLE: 45 W (0.045 kW); ELECTRICAL INPUT — not established room heat.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t>
  </si>
  <si>
    <t>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t>
  </si>
  <si>
    <t>asecos extraction unit 14218 — source below</t>
  </si>
  <si>
    <t>https://www.asecos-configurator.com/EN/IE/technical-ventilation-of-safety-storage-cabinets/extraction-units/extraction-units-for-tall-cabinets/14218</t>
  </si>
  <si>
    <t>asecos extraction unit 14218 (reference, not installed-model confirmation)</t>
  </si>
  <si>
    <t>Existing electrical reference for Industrial extraction unit: 45 W.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 This is not a measured sensible/latent room load. Only a closed energy balance can justify equating it to eventual total heat; external steam, refrigerant, fluid, work, storage and exhaust can change that result. REQUIRED: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t>
  </si>
  <si>
    <t>Parts washer</t>
  </si>
  <si>
    <t>NUMERIC EXAMPLE: 2500 W (2.5 kW); ELECTRICAL INPUT — not established room heat.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t>
  </si>
  <si>
    <t>Heater element capacity ONLY</t>
  </si>
  <si>
    <t>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t>
  </si>
  <si>
    <t>Hotwash SS1200-HMW — see source</t>
  </si>
  <si>
    <t>https://www.hotwash.com.au/hubfs/2023%20August%20Website%20Content/Change%20request%20-%20Oct%202023/SS850-HMW%20%26%201200-HMW%20%28Brochure%29.pdf</t>
  </si>
  <si>
    <t>Hotwash SS1200-HMW</t>
  </si>
  <si>
    <t>Existing electrical reference for Parts washer: 2500 W.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 This is not a measured sensible/latent room load. Only a closed energy balance can justify equating it to eventual total heat; external steam, refrigerant, fluid, work, storage and exhaust can change that result. REQUIRED: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t>
  </si>
  <si>
    <t>Battery charging station</t>
  </si>
  <si>
    <t>Match ASHRAE AA battery-charger test example. Highest recorded15-minute heat-gain interval. 5.5 W published small AA charger example only. Not an industrial battery bank or multi-device cabinet total; quantity and battery type must match. Zero latent requires no uncaptured moisture. Match room allocation and duty; count once.</t>
  </si>
  <si>
    <t>5.5 W published small AA charger example only. Not an industrial battery bank or multi-device cabinet total; quantity and battery type must match.</t>
  </si>
  <si>
    <t>ASHRAE AA battery-charger test example — see source</t>
  </si>
  <si>
    <t>ASHRAE AA battery-charger test example</t>
  </si>
  <si>
    <t>Industrial battery charger</t>
  </si>
  <si>
    <t>Match MEAN WELL NPB-450-24 intelligent battery charger. Calculated charger conversion loss at manufacturer efficiency test point. Datasheet notes 2/7: typical efficiency 93% at 230 VAC, rated load, 25°C and 33.6 V charge output. Output 33.6 V × 13.5 A = 453.6 W; input 453.6/0.93 = 487.74 W; charger loss 34.14 W. Excludes battery heating, other cabinet loads and later discharge. Default boost is 28.8 V, so do not apply this efficiency test-point heat to every charge stage. Zero latent requires no uncaptured moisture. Match room allocation and duty; count once.</t>
  </si>
  <si>
    <t>Calculated charger conversion loss at manufacturer efficiency test point</t>
  </si>
  <si>
    <t>Datasheet notes 2/7: typical efficiency 93% at 230 VAC, rated load, 25°C and 33.6 V charge output. Output 33.6 V × 13.5 A = 453.6 W; input 453.6/0.93 = 487.74 W; charger loss 34.14 W. Excludes battery heating, other cabinet loads and later discharge. Default boost is 28.8 V, so do not apply this efficiency test-point heat to every charge stage.</t>
  </si>
  <si>
    <t>MEAN WELL NPB-450-24 intelligent battery charger — see source</t>
  </si>
  <si>
    <t>https://www.meanwell.com/Upload/PDF/NPB-450/NPB-450-spec.pdf</t>
  </si>
  <si>
    <t>MEAN WELL NPB-450-24 intelligent battery charger</t>
  </si>
  <si>
    <t>3D scanner</t>
  </si>
  <si>
    <t>Match PMT SMARTSCAN handheld scanner (reference, not installed-model confirmation). Published power consumption. Scanner only; PC and PSU losses separate. Avoid USB power double counting. Zero latent requires no uncaptured moisture. Match room allocation and duty; count once.</t>
  </si>
  <si>
    <t>Scanner only; PC and PSU losses separate. Avoid USB power double counting.</t>
  </si>
  <si>
    <t>PMT SMARTSCAN handheld scanner — source below</t>
  </si>
  <si>
    <t>https://www.pmt3d.com/what-is-the-power-consumption-of-a-handheld-laser-3d-scanner/</t>
  </si>
  <si>
    <t>PMT SMARTSCAN handheld scanner (reference, not installed-model confirmation)</t>
  </si>
  <si>
    <t>Industrial control cabinet</t>
  </si>
  <si>
    <t>NUMERIC EXAMPLE: 32 W (0.032 kW); EXISTING REFERENCE — scope/state limits apply.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t>
  </si>
  <si>
    <t>Component-only cabinet contribution at 380 V, 4 kHz</t>
  </si>
  <si>
    <t>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t>
  </si>
  <si>
    <t>Schneider ATV320U07N4C single-drive contribution — source below</t>
  </si>
  <si>
    <t>https://eshop.se.com/in/atv320u07n4c-atv320-0-75kw-400v-3ph-compact-control-v.html</t>
  </si>
  <si>
    <t>Schneider ATV320U07N4C single-drive contribution</t>
  </si>
  <si>
    <t>Component-only cabinet contribution at 380 V, 4 kHz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 This retains the original reference, including any unresolved source limitations; it is not newly validated net room heat. REQUIRED: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t>
  </si>
  <si>
    <t>Manufacturing</t>
  </si>
  <si>
    <t>Conveyor motor</t>
  </si>
  <si>
    <t>Match SEW-EURODRIVE DRN80M4, 0.75 kW motor reference. Calculated motor-only losses at rated 50 Hz operation. Manufacturer example p93: shaft rating 750 W and rated efficiency 82.9%. Motor heat = 750/0.829 − 750 = 154.7 W. Input = 904.7 W. Excludes gearbox, brake, inverter and heat from driven conveyor work; include those only in the rooms where released. Rated point, not measured conveyor duty or motor selection approval. Zero latent requires no uncaptured moisture. Match room allocation and duty; count once.</t>
  </si>
  <si>
    <t>Calculated motor-only losses at rated 50 Hz operation</t>
  </si>
  <si>
    <t>Manufacturer example p93: shaft rating 750 W and rated efficiency 82.9%. Motor heat = 750/0.829 − 750 = 154.7 W. Input = 904.7 W. Excludes gearbox, brake, inverter and heat from driven conveyor work; include those only in the rooms where released. Rated point, not measured conveyor duty or motor selection approval.</t>
  </si>
  <si>
    <t>SEW-EURODRIVE DRN80M4, 0.75 kW motor reference — source below</t>
  </si>
  <si>
    <t>https://download.sew-eurodrive.com/download/pdf/30592232.pdf</t>
  </si>
  <si>
    <t>SEW-EURODRIVE DRN80M4, 0.75 kW motor reference</t>
  </si>
  <si>
    <t>Source-backed reference / stated assumptions; checked 2026-10-17</t>
  </si>
  <si>
    <t>Packaging machine</t>
  </si>
  <si>
    <t>NUMERIC EXAMPLE: 160 W (0.16 kW); ELECTRICAL INPUT — not established room heat.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t>
  </si>
  <si>
    <t>Published sealing-process electrical consumption; warm-up differs</t>
  </si>
  <si>
    <t>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t>
  </si>
  <si>
    <t>hawo hd 650 EcoPak band-sealing packaging machine — see source</t>
  </si>
  <si>
    <t>https://www.hawo.com/hawo-files/hawo-hawo-9343045_hawo_broch-hd-650-ecopakseries-en-www-231010-id1396-486.pdf</t>
  </si>
  <si>
    <t>hawo hd 650 EcoPak band-sealing packaging machine</t>
  </si>
  <si>
    <t>Existing electrical reference for Packaging machine: 160 W.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 This is not a measured sensible/latent room load. Only a closed energy balance can justify equating it to eventual total heat; external steam, refrigerant, fluid, work, storage and exhaust can change that result. REQUIRED: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t>
  </si>
  <si>
    <t>Electric hydraulic power pack</t>
  </si>
  <si>
    <t>NUMERIC EXAMPLE: 5500 W (5.5 kW); ELECTRICAL INPUT — not established room heat.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t>
  </si>
  <si>
    <t>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t>
  </si>
  <si>
    <t>JetBlast e-Power Control 5 — source below</t>
  </si>
  <si>
    <t>https://www.jetblast.it/en/products/autonomated-systems/e-power-control/</t>
  </si>
  <si>
    <t>JetBlast e-Power Control 5 (reference, not installed-model confirmation)</t>
  </si>
  <si>
    <t>Existing electrical reference for Electric hydraulic power pack: 5500 W.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 This is not a measured sensible/latent room load. Only a closed energy balance can justify equating it to eventual total heat; external steam, refrigerant, fluid, work, storage and exhaust can change that result. REQUIRED: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t>
  </si>
  <si>
    <t>Small industrial pump</t>
  </si>
  <si>
    <t>USER-REQUESTED HYPOTHETICAL EXAMPLE: 111.11 W (0.11111 kW). Illustrative pump motor: assumed 1,000 W shaft output at 90% efficiency; 1,000/0.90−1,000 =111.11 W motor loss. Fluid and pump heat assumed exported; actual motor/operating point unknown. Assumed for illustration, not sourced or project-approved. Sensible/latent split unverified. Need actual pump operating point, real electrical input, motor efficiency and fluid temperature/flow. Determine where hydraulic work is dissipated and whether the motor is in this room. Add only local motor/casing heat plus local fluid heat release; not rated shaft kW by default. D/E remain blocked.</t>
  </si>
  <si>
    <t>Need actual pump operating point, real electrical input, motor efficiency and fluid temperature/flow. Determine where hydraulic work is dissipated and whether the motor is in this room. Add only local motor/casing heat plus local fluid heat release; not rated shaft kW by default. D/E remain blocked.</t>
  </si>
  <si>
    <t>No installed model specified — Small industrial pump — see source</t>
  </si>
  <si>
    <t>No installed model specified — Small industrial pump</t>
  </si>
  <si>
    <t>Illustrative pump motor: assumed 1,000 W shaft output at 90% efficiency; 1,000/0.90−1,000 =111.11 W motor loss. Fluid and pump heat assumed exported; actual motor/operating point unknown. REQUIRED: Need actual pump operating point, real electrical input, motor efficiency and fluid temperature/flow. Determine where hydraulic work is dissipated and whether the motor is in this room. Add only local motor/casing heat plus local fluid heat release; not rated shaft kW by default. D/E remain blocked.</t>
  </si>
  <si>
    <t>Industrial electric motor</t>
  </si>
  <si>
    <t>Match ABB M2BAX 80MC 2, 0.75 kW, 415 V/50 Hz (2019 datasheet). Calculated full-load motor loss only; shaft work exported from room. Source full-load shaft output 750 W, efficiency 80.7%. Input = 750/0.807 = 929.37 W; motor heat = input − shaft output = 179.37 W. Applies only to motor losses inside room with driven work outside. If all shaft work also dissipates inside the room, eventual combined gain is 929.37 W. Actual load fraction and locations required; not a usual operating average. Zero latent requires no uncaptured moisture. Match room allocation and duty; count once.</t>
  </si>
  <si>
    <t>Calculated full-load motor loss only; shaft work exported from room</t>
  </si>
  <si>
    <t>Source full-load shaft output 750 W, efficiency 80.7%. Input = 750/0.807 = 929.37 W; motor heat = input − shaft output = 179.37 W. Applies only to motor losses inside room with driven work outside. If all shaft work also dissipates inside the room, eventual combined gain is 929.37 W. Actual load fraction and locations required; not a usual operating average.</t>
  </si>
  <si>
    <t>ABB M2BAX 80MC 2, 0.75 kW, 415 V/50 Hz (2019 datasheet) — see source</t>
  </si>
  <si>
    <t>https://library.e.abb.com/public/edb87e41a82645d2a8d0932dc4652a3a/0.75KW%202P%20IE3.pdf</t>
  </si>
  <si>
    <t>ABB M2BAX 80MC 2, 0.75 kW, 415 V/50 Hz (2019 datasheet)</t>
  </si>
  <si>
    <t>Variable-speed drive / inverter</t>
  </si>
  <si>
    <t>Match Schneider ATV320U15N4B (reference, not installed-model confirmation). Manufacturer operating/rated example; see qualification. Published dissipation at 380 V/4 kHz. Source revisions elsewhere differ; verify current installed revision. Excludes driven motor. Zero latent requires no uncaptured moisture. Match room allocation and duty; count once.</t>
  </si>
  <si>
    <t>Published dissipation at 380 V/4 kHz. Source revisions elsewhere differ; verify current installed revision. Excludes driven motor.</t>
  </si>
  <si>
    <t>Schneider ATV320U15N4B — source below</t>
  </si>
  <si>
    <t>https://eshop.se.com/sg/variable-speed-drive-altivar-machine-atv320-1-5kw-380-to-500v-3-phases-book-atv320u15n4b.html</t>
  </si>
  <si>
    <t>Schneider ATV320U15N4B (reference, not installed-model confirmation)</t>
  </si>
  <si>
    <t>Fitness</t>
  </si>
  <si>
    <t>Treadmill</t>
  </si>
  <si>
    <t>Match ASHRAE measured example: Medical stress treadmill (reference, not installed-model confirmation). Table 9 average heat gain; historical Hosni et al. measurements. Reference measurement reproduced in 2025 handbook, not modern installed-model confirmation. Peak/duty can differ; treadmill excludes person heat. X-ray generator output kW is not average room gain. Zero latent requires no uncaptured moisture. Match room allocation and duty; count once.</t>
  </si>
  <si>
    <t>ASHRAE measured example: Medical stress treadmill — source below</t>
  </si>
  <si>
    <t>Gym / fitness</t>
  </si>
  <si>
    <t>ASHRAE measured example: Medical stress treadmill (reference, not installed-model confirmation)</t>
  </si>
  <si>
    <t>Elliptical trainer</t>
  </si>
  <si>
    <t>USER-REQUESTED HYPOTHETICAL EXAMPLE: 100 W (0.1 kW). Illustrative exercise station: assumed 90 W mechanical work dissipated in local resistance plus 10 W console =100 W. Reconcile rider work with occupant metabolism; not an extra 100 W on top of an allowance already including that work. Assumed for illustration, not sourced or project-approved. Sensible/latent split unverified. Need exact elliptical model: mains-powered or self-powered, console draw and exercise intensity/duration. User mechanical work dissipated in resistance is not electrical input. Reconcile it with the occupant metabolic-load method so user energy is counted once. Do not invent a standard watts-per-machine. D/E remain blocked.</t>
  </si>
  <si>
    <t>Need exact elliptical model: mains-powered or self-powered, console draw and exercise intensity/duration. User mechanical work dissipated in resistance is not electrical input. Reconcile it with the occupant metabolic-load method so user energy is counted once. Do not invent a standard watts-per-machine. D/E remain blocked.</t>
  </si>
  <si>
    <t>No installed model specified — Elliptical trainer — see source</t>
  </si>
  <si>
    <t>No installed model specified — Elliptical trainer</t>
  </si>
  <si>
    <t>Illustrative exercise station: assumed 90 W mechanical work dissipated in local resistance plus 10 W console =100 W. Reconcile rider work with occupant metabolism; not an extra 100 W on top of an allowance already including that work. REQUIRED: Need exact elliptical model: mains-powered or self-powered, console draw and exercise intensity/duration. User mechanical work dissipated in resistance is not electrical input. Reconcile it with the occupant metabolic-load method so user energy is counted once. Do not invent a standard watts-per-machine. D/E remain blocked.</t>
  </si>
  <si>
    <t>Exercise bike</t>
  </si>
  <si>
    <t>USER-REQUESTED HYPOTHETICAL EXAMPLE: 110 W (0.11 kW). Illustrative bike: assumed 100 W rider work dissipated locally plus 10 W electronics =110 W. Rider work is part of occupant energy, not additional mains power. Assumed for illustration, not sourced or project-approved. Sensible/latent split unverified. Need bike model, console/accessory real power, rider mechanical output and brake/generator destination. If the rider supplies power, that energy comes from metabolism; adding a full exercise-person allowance and the same mechanical work can double-count it. Confirm the chosen occupant method and duty before a room estimate. D/E remain blocked.</t>
  </si>
  <si>
    <t>Need bike model, console/accessory real power, rider mechanical output and brake/generator destination. If the rider supplies power, that energy comes from metabolism; adding a full exercise-person allowance and the same mechanical work can double-count it. Confirm the chosen occupant method and duty before a room estimate. D/E remain blocked.</t>
  </si>
  <si>
    <t>No installed model specified — Exercise bike — see source</t>
  </si>
  <si>
    <t>No installed model specified — Exercise bike</t>
  </si>
  <si>
    <t>Illustrative bike: assumed 100 W rider work dissipated locally plus 10 W electronics =110 W. Rider work is part of occupant energy, not additional mains power. REQUIRED: Need bike model, console/accessory real power, rider mechanical output and brake/generator destination. If the rider supplies power, that energy comes from metabolism; adding a full exercise-person allowance and the same mechanical work can double-count it. Confirm the chosen occupant method and duty before a room estimate. D/E remain blocked.</t>
  </si>
  <si>
    <t>Rowing machine</t>
  </si>
  <si>
    <t>USER-REQUESTED HYPOTHETICAL EXAMPLE: 150 W (0.15 kW). Illustrative rower: assumed 150 W rider mechanical output dissipated locally. Monitor contribution omitted; reconcile with occupant metabolic method and add measured monitor loss if material. Assumed for illustration, not sourced or project-approved. Sensible/latent split unverified. Concept2 PM5 documentation confirms generator/battery operation, but gives no complete rower room-heat figure. Obtain model, user workload/duration and monitor input. Flywheel work becomes heat; coordinate with occupant metabolic accounting and any exported electricity. Battery capacity is not continuous power. D/E remain blocked.</t>
  </si>
  <si>
    <t>Concept2 PM5 documentation confirms generator/battery operation, but gives no complete rower room-heat figure. Obtain model, user workload/duration and monitor input. Flywheel work becomes heat; coordinate with occupant metabolic accounting and any exported electricity. Battery capacity is not continuous power. D/E remain blocked.</t>
  </si>
  <si>
    <t>No installed model specified — Rowing machine — see source</t>
  </si>
  <si>
    <t>https://www.concept2.com/support/monitors/pm5/troubleshooting</t>
  </si>
  <si>
    <t>No installed model specified — Rowing machine</t>
  </si>
  <si>
    <t>Illustrative rower: assumed 150 W rider mechanical output dissipated locally. Monitor contribution omitted; reconcile with occupant metabolic method and add measured monitor loss if material. REQUIRED: Concept2 PM5 documentation confirms generator/battery operation, but gives no complete rower room-heat figure. Obtain model, user workload/duration and monitor input. Flywheel work becomes heat; coordinate with occupant metabolic accounting and any exported electricity. Battery capacity is not continuous power. D/E remain blocked.</t>
  </si>
  <si>
    <t>Motorised stair climber</t>
  </si>
  <si>
    <t>USER-REQUESTED HYPOTHETICAL EXAMPLE: 300 W (0.3 kW). Illustrative stair-climber: assumed 300 W net equipment dissipation from motor/console/braking after work exchanges. Selected scenario, not measured consumption; occupant accounting must be reconciled. Assumed for illustration, not sourced or project-approved. Sensible/latent split unverified. Need actual motorised gym stair-climber model, measured input by speed/load, console power, braking/regeneration and use schedule. Do not use stair-lift data. Reconcile user work with occupant loads and any exported electrical energy. No supported generic sensible/latent value; D/E remain blocked.</t>
  </si>
  <si>
    <t>Need actual motorised gym stair-climber model, measured input by speed/load, console power, braking/regeneration and use schedule. Do not use stair-lift data. Reconcile user work with occupant loads and any exported electrical energy. No supported generic sensible/latent value; D/E remain blocked.</t>
  </si>
  <si>
    <t>No installed model specified — Motorised stair climber — see source</t>
  </si>
  <si>
    <t>No installed model specified — Motorised stair climber</t>
  </si>
  <si>
    <t>Illustrative stair-climber: assumed 300 W net equipment dissipation from motor/console/braking after work exchanges. Selected scenario, not measured consumption; occupant accounting must be reconciled. REQUIRED: Need actual motorised gym stair-climber model, measured input by speed/load, console power, braking/regeneration and use schedule. Do not use stair-lift data. Reconcile user work with occupant loads and any exported electrical energy. No supported generic sensible/latent value; D/E remain blocked.</t>
  </si>
  <si>
    <t>Commercial TV / display</t>
  </si>
  <si>
    <t>Match Reference: Samsung BEFX-H 43; installed model unconfirmed. Published on-mode rating. 43-inch example only. Model-specific power allowance; brightness/content change actual draw. Zero latent requires no uncaptured moisture. Match room allocation and duty; count once.</t>
  </si>
  <si>
    <t>43-inch example only. Model-specific power allowance; brightness/content change actual draw.</t>
  </si>
  <si>
    <t>Powered massage chair</t>
  </si>
  <si>
    <t>Match OGAWA Master Drive Plus OG7598 (reference, not installed-model confirmation). 220–240 V rated consumption. Conditional eventual room heat including mechanical massage work. Not typical average; user metabolic load separate. Zero latent requires no uncaptured moisture. Match room allocation and duty; count once.</t>
  </si>
  <si>
    <t>220–240 V rated consumption</t>
  </si>
  <si>
    <t>Conditional eventual room heat including mechanical massage work. Not typical average; user metabolic load separate.</t>
  </si>
  <si>
    <t>OGAWA Master Drive Plus OG7598 — source below</t>
  </si>
  <si>
    <t>https://www.ogawaworld.net.ph/products/master-drive-plus</t>
  </si>
  <si>
    <t>OGAWA Master Drive Plus OG7598 (reference, not installed-model confirmation)</t>
  </si>
  <si>
    <t>Recreation</t>
  </si>
  <si>
    <t>Arcade machine</t>
  </si>
  <si>
    <t>Match Bandai Namco Mario Kart Arcade GP DX (reference, not installed-model confirmation). Rated machine consumption. One complete cabinet including 42-inch display. Not average during idle; do not add integrated screen separately. Zero latent requires no uncaptured moisture. Match room allocation and duty; count once.</t>
  </si>
  <si>
    <t>Rated machine consumption</t>
  </si>
  <si>
    <t>One complete cabinet including 42-inch display. Not average during idle; do not add integrated screen separately.</t>
  </si>
  <si>
    <t>Bandai Namco Mario Kart Arcade GP DX — source below</t>
  </si>
  <si>
    <t>https://www.bandainamco-am.com/Ecommerce/Site/Content/PDFs/MKArcade_GPDX_Manual_04.07.25.pdf</t>
  </si>
  <si>
    <t>Leisure / entertainment</t>
  </si>
  <si>
    <t>Bandai Namco Mario Kart Arcade GP DX (reference, not installed-model confirmation)</t>
  </si>
  <si>
    <t>Gaming console</t>
  </si>
  <si>
    <t>Sony PS5 CFI-1016A; UHD gameplay, three-game average. Specific historical model/game test, not maximum or all consoles. Display/audio separate; no controller battery charging allocation. Whole console in room. D is sensible heat estimate; E=0 assumes no moisture released. Confirm model, duty and room allocation before use. Original reference G/H is retained, not the new calculation input.</t>
  </si>
  <si>
    <t>UHD gameplay, three-game average</t>
  </si>
  <si>
    <t>Specific historical model/game test, not maximum or all consoles. Display/audio separate; no controller battery charging allocation. Whole console in room. Previous reference context: Approximate high end of cited gameplay examples; excludes display. Game/model dependent.</t>
  </si>
  <si>
    <t>Sony Energy Efficiency; CFI-1016A, tested15 Dec2020</t>
  </si>
  <si>
    <t>https://www.playstation.com/en-gb/legal/ecodesign/</t>
  </si>
  <si>
    <t>Sony PS5 CFI-1016A</t>
  </si>
  <si>
    <t>Gaming PC station</t>
  </si>
  <si>
    <t>Photobooth</t>
  </si>
  <si>
    <t>Match UpReach photo booth with 32-inch screen (reference, not installed-model confirmation). Manufacturer approximate average. Whole reference booth including listed components; 43-inch version about 233 W. Actual print activity matters. Zero latent requires no uncaptured moisture. Match room allocation and duty; count once.</t>
  </si>
  <si>
    <t>Manufacturer approximate average</t>
  </si>
  <si>
    <t>Whole reference booth including listed components; 43-inch version about 233 W. Actual print activity matters.</t>
  </si>
  <si>
    <t>UpReach photo booth with 32-inch screen — source below</t>
  </si>
  <si>
    <t>https://www.store.upreach.com/en/fotokabinenguide</t>
  </si>
  <si>
    <t>UpReach photo booth with 32-inch screen (reference, not installed-model confirmation)</t>
  </si>
  <si>
    <t>Bowling lane equipment</t>
  </si>
  <si>
    <t>Match Switch bowling equipment. Maximum per PAIR of lanes, all motors operating. Conditional eventual whole-area heat. Motors operate intermittently; not normal hourly average or per-lane value. Split pinsetter/motor rooms if needed. Zero latent requires no uncaptured moisture. Match room allocation and duty; count once.</t>
  </si>
  <si>
    <t>Maximum per PAIR of lanes, all motors operating</t>
  </si>
  <si>
    <t>Conditional eventual whole-area heat. Motors operate intermittently; not normal hourly average or per-lane value. Split pinsetter/motor rooms if needed.</t>
  </si>
  <si>
    <t>Switch bowling equipment — see source</t>
  </si>
  <si>
    <t>https://www.switchbowlingusa.com/planning-and-resources/</t>
  </si>
  <si>
    <t>Switch bowling equipment</t>
  </si>
  <si>
    <t>Washing machine</t>
  </si>
  <si>
    <t>250 W conditional sensible reference for Miele PWM507 professional7 kg washer (not a universal domestic washer). AU/NZ installation plan specifies heat to installation site. Apply only to the matching installation/cycle accepted for the project; zero latent assumes closed operation, proper drains and no uncaptured vapour. Door-opening/wet-laundry moisture requires separate assessment. Do not add electrical heater rating or drain-water heat to this room emission.</t>
  </si>
  <si>
    <t>Published installation-site heat dissipation</t>
  </si>
  <si>
    <t>Miele PWM507 AU/NZ installation plan; Technical data: heat to installation site250 W</t>
  </si>
  <si>
    <t>https://media.miele.com/downloads/50/ea/06_C7F128282FD21FE094D111697B3550EA.pdf</t>
  </si>
  <si>
    <t>Variant dependent</t>
  </si>
  <si>
    <t>Miele PWM 507 DV/DP, 7 kg professional washer</t>
  </si>
  <si>
    <t>Commercial washing machine</t>
  </si>
  <si>
    <t>833.33 W conditional sensible reference for the WASHER SECTION of Miele PWT6089 Vario XL11393410:3.00 MJ/h÷0.0036. Zero latent assumes closed operation with drains carrying away wastewater and no room vapour. Match installation/cycle; assess door-opening/wet-laundry moisture separately. Dryer section is a separate contribution if operating, not included here. Do not add connected load.</t>
  </si>
  <si>
    <t>Published room heat dissipation</t>
  </si>
  <si>
    <t>Miele PWT6089 Vario XL11393410 datasheet,p3, washer-section room heat3.00 MJ/h</t>
  </si>
  <si>
    <t>https://media.miele.com/downloads/n-/gb/FS_11393410_GBE_GB-en-GB.pdf</t>
  </si>
  <si>
    <t>Miele PWT 6089 Vario XL washer section (reference, not installed-model confirmation)</t>
  </si>
  <si>
    <t>Tumble dryer — electric</t>
  </si>
  <si>
    <t>1000 W conditional sensible reference for Miele PDR507 HP [EL]11168560 heat-pump dryer:3.60 MJ/h÷0.0036. Not a vented resistance dryer. Zero latent assumes intact closed moisture circuit, condensate drainage and no appreciable vapour leakage; manufacturer does not publish a separate latent value here. Match model/revision and assess unloading moisture separately. Same example as row264: count each unit once.</t>
  </si>
  <si>
    <t>Manufacturer room heat dissipation; 220–240 V 50 Hz reference</t>
  </si>
  <si>
    <t>Miele PDR507 HP [EL]11168560 datasheet, room heat3.60 MJ/h; exact revision required</t>
  </si>
  <si>
    <t>https://media.miele.com/downloads/n-/ie/FS_11168560_IEE_IE-en-IE.pdf</t>
  </si>
  <si>
    <t>Miele PDR 507 HP [EL], 7 kg heat-pump dryer</t>
  </si>
  <si>
    <t>Commercial tumble dryer</t>
  </si>
  <si>
    <t>450 W conditional sensible reference for DRYER SECTION of Miele PWT6089 Vario XL11393410:1.62 MJ/h÷0.0036. Requires correctly ducted exhaust leaving the room; zero room latent assumes no leakage. Duct heat loss and outdoor makeup-air load are separate. Washer section is not included. Do not add electrical input or exhaust heat again.</t>
  </si>
  <si>
    <t>Miele PWT6089 Vario XL11393410 datasheet,p3, dryer-section room heat1.62 MJ/h</t>
  </si>
  <si>
    <t>Miele PWT 6089 Vario XL dryer section (reference, not installed-model confirmation)</t>
  </si>
  <si>
    <t>Heat-pump dryer</t>
  </si>
  <si>
    <t>1000 W conditional sensible reference for Miele PDR507 HP [EL]11168560:3.60 MJ/h÷0.0036. Match this datasheet revision; do not average it with older950 W data. Zero latent assumes intact closed moisture circuit and condensate drainage, not a measured split. Assess door-opening/leakage separately. This overlaps row262; count a physical dryer once.</t>
  </si>
  <si>
    <t>Published room heat dissipation for this variant</t>
  </si>
  <si>
    <t>Miele PDR 507 HP EL, 11168560 (reference, not installed-model confirmation)</t>
  </si>
  <si>
    <t>Commercial iron / steam press</t>
  </si>
  <si>
    <t>NUMERIC EXAMPLE: 50 W (0.05 kW); ELECTRICAL INPUT — not established room heat.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t>
  </si>
  <si>
    <t>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t>
  </si>
  <si>
    <t>Itsumi HF-360 utility press — source below</t>
  </si>
  <si>
    <t>https://itsumiusa.com/products/hf-360-utility-press/</t>
  </si>
  <si>
    <t>Itsumi HF-360 utility press (reference, not installed-model confirmation)</t>
  </si>
  <si>
    <t>Existing electrical reference for Commercial iron / steam press: 50 W.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 This is not a measured sensible/latent room load. Only a closed energy balance can justify equating it to eventual total heat; external steam, refrigerant, fluid, work, storage and exhaust can change that result. REQUIRED: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t>
  </si>
  <si>
    <t>Commercial floor scrubber charger</t>
  </si>
  <si>
    <t>USER-REQUESTED HYPOTHETICAL EXAMPLE: 100 W (0.1 kW). Illustrative charger/battery: assumed 1,000 W AC input and 900 W net stored energy =100 W local total losses; one active charge state, no battery latent/vent-gas split established. Assumed for illustration, not sourced or project-approved. Sensible/latent split unverified. TO COMPLETE: Charger model and count; measured AC input/DC output by charging stage; battery heat and location; design-hour charging schedule. Need exact scrubber charger, AC/DC power and battery state; brush/vacuum motor ratings do not determine charging heat. Reference link is supporting method/product context only; no numeric room-heat value established. D/E remain unknown; use documented project inputs in Room worksheet I:M once resolved.</t>
  </si>
  <si>
    <t>Need exact scrubber charger, AC/DC power and battery state; brush/vacuum motor ratings do not determine charging heat. Reference link is supporting method/product context only; no numeric room-heat value established.</t>
  </si>
  <si>
    <t>No installed model specified — Commercial floor scrubber charger — see source</t>
  </si>
  <si>
    <t>https://www.se.com/in/en/faqs/FA316686/</t>
  </si>
  <si>
    <t>No installed model specified — Commercial floor scrubber charger</t>
  </si>
  <si>
    <t>Research outcome; no numeric room-heat claim; checked2026-10-16</t>
  </si>
  <si>
    <t>Charger model and count; measured AC input/DC output by charging stage; battery heat and location; design-hour charging schedule.</t>
  </si>
  <si>
    <t>Illustrative charger/battery: assumed 1,000 W AC input and 900 W net stored energy =100 W local total losses; one active charge state, no battery latent/vent-gas split established. REQUIRED: Charger model and count; measured AC input/DC output by charging stage; battery heat and location; design-hour charging schedule.</t>
  </si>
  <si>
    <t>Hand dryer — electric</t>
  </si>
  <si>
    <t>NUMERIC EXAMPLE: 900 W (0.9 kW); EXISTING REFERENCE — scope/state limits apply. TO COMPLETE: Dryer mode and seconds of operation per hour; water evaporated versus drained; air/exhaust destination; sensible/latent split. 900 W Max-mode input is an approximate eventual total gain if air and dissipated motor/jet energy stay indoors; not 900 W continuous or purely sensible gain. Eco mode 650 W. Apply actual running seconds per design hour; no usage rate assumed. Moisture, water carried away and exhaust require separate assessment. D/E remain unknown; use documented project inputs in Room worksheet I:M once resolved.</t>
  </si>
  <si>
    <t>Conditional total electrical heat contribution while running; 10-second nominal dry</t>
  </si>
  <si>
    <t>900 W Max-mode input is an approximate eventual total gain if air and dissipated motor/jet energy stay indoors; not 900 W continuous or purely sensible gain. Eco mode 650 W. Apply actual running seconds per design hour; no usage rate assumed. Moisture, water carried away and exhaust require separate assessment.</t>
  </si>
  <si>
    <t>Dyson Airblade 9kJ, Max mode — source below</t>
  </si>
  <si>
    <t>https://www.dyson.com.au/for-business/hand-dryers/airblade-9kj</t>
  </si>
  <si>
    <t>Unresolved — drying moisture changes split</t>
  </si>
  <si>
    <t>Dyson Airblade 9kJ, Max mode</t>
  </si>
  <si>
    <t>Dryer mode and seconds of operation per hour; water evaporated versus drained; air/exhaust destination; sensible/latent split.</t>
  </si>
  <si>
    <t>Conditional total electrical heat contribution while running; 10-second nominal dry 900 W Max-mode input is an approximate eventual total gain if air and dissipated motor/jet energy stay indoors; not 900 W continuous or purely sensible gain. Eco mode 650 W. Apply actual running seconds per design hour; no usage rate assumed. Moisture, water carried away and exhaust require separate assessment. This retains the original reference, including any unresolved source limitations; it is not newly validated net room heat. REQUIRED: Dryer mode and seconds of operation per hour; water evaporated versus drained; air/exhaust destination; sensible/latent split.</t>
  </si>
  <si>
    <t>Electric water pump</t>
  </si>
  <si>
    <t>NUMERIC EXAMPLE: 65 W (0.065 kW); ELECTRICAL INPUT — not established room heat. TO COMPLETE: Actual pump operating point and real input; local motor/casing loss; heat carried away by water. Published 65 W input; fluid carries hydraulic and thermal energy away. Determine local motor losses and system boundary. D/E remain unknown; use documented project inputs in Room worksheet I:M once resolved.</t>
  </si>
  <si>
    <t>Published 65 W input; fluid carries hydraulic and thermal energy away. Determine local motor losses and system boundary.</t>
  </si>
  <si>
    <t>VP60H 24 V /2.7 A water pump variant — source below</t>
  </si>
  <si>
    <t>https://www.electricwaterpump.com/product/ev-charging-cooling-pump/</t>
  </si>
  <si>
    <t>VP60H 24 V /2.7 A water pump variant (reference, not installed-model confirmation)</t>
  </si>
  <si>
    <t>Electrical input only; checked 2026-10-14</t>
  </si>
  <si>
    <t>Actual pump operating point and real input; local motor/casing loss; heat carried away by water.</t>
  </si>
  <si>
    <t>Existing electrical reference for Electric water pump: 65 W. Published 65 W input; fluid carries hydraulic and thermal energy away. Determine local motor losses and system boundary. This is not a measured sensible/latent room load. Only a closed energy balance can justify equating it to eventual total heat; external steam, refrigerant, fluid, work, storage and exhaust can change that result. REQUIRED: Actual pump operating point and real input; local motor/casing loss; heat carried away by water.</t>
  </si>
  <si>
    <t>Network video recorder (NVR)</t>
  </si>
  <si>
    <t>Match Synology DVA1622 (example; not installed-model confirmation). Manufacturer access-mode test. Test configuration, not a maximum. Installed disks and workload change input; cameras separate. Heat estimate assumes input energy is ultimately retained as sensible heat in the zone; no intentional moisture source. Zero latent requires no uncaptured moisture. Match room allocation and duty; count once.</t>
  </si>
  <si>
    <t>Manufacturer access-mode test</t>
  </si>
  <si>
    <t>Test configuration, not a maximum. Installed disks and workload change input; cameras separate. Heat estimate assumes input energy is ultimately retained as sensible heat in the zone; no intentional moisture source.</t>
  </si>
  <si>
    <t>Synology DVA1622 — manufacturer specification</t>
  </si>
  <si>
    <t>https://www.synology.com/en-sg/products/DVA1622</t>
  </si>
  <si>
    <t>Synology DVA1622 (example; not installed-model confirmation)</t>
  </si>
  <si>
    <t>Access-control panel</t>
  </si>
  <si>
    <t>Match Dahua ASC2204C-D. Upper standby consumption ≤0.8 W. Standby reference only; working specification≤39.6 W can include remote reader/lock loads. Do not equate active supplied power with heat at the control panel; allocate peripherals separately. DO NOT use for active-operation hours. Zero latent requires no uncaptured moisture. Match room allocation and duty; count once.</t>
  </si>
  <si>
    <t>Upper standby consumption ≤0.8 W</t>
  </si>
  <si>
    <t>Standby reference only; working specification≤39.6 W can include remote reader/lock loads. Do not equate active supplied power with heat at the control panel; allocate peripherals separately.</t>
  </si>
  <si>
    <t>Dahua ASC2204C-D — see source</t>
  </si>
  <si>
    <t>https://www.dahuasecurity.com/br/products/Access-Control/Controllers/ASC2204C-D</t>
  </si>
  <si>
    <t>Dahua ASC2204C-D</t>
  </si>
  <si>
    <t>Security alarm panel</t>
  </si>
  <si>
    <t>NUMERIC EXAMPLE: 1.5 W (0.0015 kW); EXISTING REFERENCE — scope/state limits apply. TO COMPLETE: Installed panel, transformer and peripheral inventory; battery charging state; remote-output power; local losses. 12 V × 0.125 A = 1.5 W; alarm-state electronics at 155 mA gives 1.86 W. Reference is control-panel electronics, not complete installed alarm-system heat. Add actual transformer loss, battery charging and in-room peripherals separately; exclude power exported to remote devices. D/E remain unknown; use documented project inputs in Room worksheet I:M once resolved.</t>
  </si>
  <si>
    <t>Idle electronics at nominal 12 VDC; excludes auxiliary loads and charging</t>
  </si>
  <si>
    <t>12 V × 0.125 A = 1.5 W; alarm-state electronics at 155 mA gives 1.86 W. Reference is control-panel electronics, not complete installed alarm-system heat. Add actual transformer loss, battery charging and in-room peripherals separately; exclude power exported to remote devices.</t>
  </si>
  <si>
    <t>Bosch B5512 control-panel electronics only — see source</t>
  </si>
  <si>
    <t>https://cdn.commerce.boschsecurity.com/public/documents/B5512_Control_Panel_Data_sheet_enUS_10683716747.pdf</t>
  </si>
  <si>
    <t>Bosch B5512 control-panel electronics only</t>
  </si>
  <si>
    <t>Calculated / conditional reference; checked 2026-10-16</t>
  </si>
  <si>
    <t>Installed panel, transformer and peripheral inventory; battery charging state; remote-output power; local losses.</t>
  </si>
  <si>
    <t>Idle electronics at nominal 12 VDC; excludes auxiliary loads and charging 12 V × 0.125 A = 1.5 W; alarm-state electronics at 155 mA gives 1.86 W. Reference is control-panel electronics, not complete installed alarm-system heat. Add actual transformer loss, battery charging and in-room peripherals separately; exclude power exported to remote devices. This retains the original reference, including any unresolved source limitations; it is not newly validated net room heat. REQUIRED: Installed panel, transformer and peripheral inventory; battery charging state; remote-output power; local losses.</t>
  </si>
  <si>
    <t>Security control-room workstation</t>
  </si>
  <si>
    <t>NUMERIC EXAMPLE: 100 W (0.1 kW); PRELIMINARY — existing selected allowance. TO COMPLETE: Actual security workstation CPU/GPU and real power under surveillance workload; monitor count and separate heat; operating schedule. Office-duty tower only; add screens and specialist hardware. 100 W selected as a preliminary office-use assumption within the published sample range; not a measured average. D/E remain unknown; use documented project inputs in Room worksheet I:M once resolved.</t>
  </si>
  <si>
    <t>Office use — monitor separate</t>
  </si>
  <si>
    <t>Office-duty tower only; add screens and specialist hardware. 100 W selected as a preliminary office-use assumption within the published sample range; not a measured average.</t>
  </si>
  <si>
    <t>E006</t>
  </si>
  <si>
    <t>Actual security workstation CPU/GPU and real power under surveillance workload; monitor count and separate heat; operating schedule.</t>
  </si>
  <si>
    <t>Office use — monitor separate Office-duty tower only; add screens and specialist hardware. 100 W selected as a preliminary office-use assumption within the published sample range; not a measured average. This retains the original reference, including any unresolved source limitations; it is not newly validated net room heat. REQUIRED: Actual security workstation CPU/GPU and real power under surveillance workload; monitor count and separate heat; operating schedule.</t>
  </si>
  <si>
    <t>Two-way radio charging rack</t>
  </si>
  <si>
    <t>USER-REQUESTED HYPOTHETICAL EXAMPLE: 20 W (0.02 kW). Illustrative ten-radio rack: assumed 2 W local charger/battery loss per slot ×10 =20 W; stored energy excluded. Assumed for illustration, not sourced or project-approved. Sensible/latent split unverified. TO COMPLETE: Radio/battery/charger models and slot count; charging-stage losses and battery heat; simultaneous charging schedule. Need radio/battery count, charge profile and charger loss; wireless-microphone charging racks are a different product. Reference link is supporting method/product context only; no numeric room-heat value established. D/E remain unknown; use documented project inputs in Room worksheet I:M once resolved.</t>
  </si>
  <si>
    <t>Need radio/battery count, charge profile and charger loss; wireless-microphone charging racks are a different product. Reference link is supporting method/product context only; no numeric room-heat value established.</t>
  </si>
  <si>
    <t>No installed model specified — Two-way radio charging rack — see source</t>
  </si>
  <si>
    <t>No installed model specified — Two-way radio charging rack</t>
  </si>
  <si>
    <t>Radio/battery/charger models and slot count; charging-stage losses and battery heat; simultaneous charging schedule.</t>
  </si>
  <si>
    <t>Illustrative ten-radio rack: assumed 2 W local charger/battery loss per slot ×10 =20 W; stored energy excluded. REQUIRED: Radio/battery/charger models and slot count; charging-stage losses and battery heat; simultaneous charging schedule.</t>
  </si>
  <si>
    <t>Radio base station</t>
  </si>
  <si>
    <t>Match Icom IC-FR5300 VHF fixed radio/repeater, 13.6 V version. Receive standby, fan off; no RF transmission. 13.6 V × 0.5 A = 6.8 W receive-standby heat. External mains PSU loss separate. Source current measured at 13.6 V; AU nominal supply differs (13.2 V), so this is overseas reference only. Transmit heat must account for exported RF and actual duty, not this standby number. DO NOT use for active-operation hours. Zero latent requires no uncaptured moisture. Match room allocation and duty; count once.</t>
  </si>
  <si>
    <t>Receive standby, fan off; no RF transmission</t>
  </si>
  <si>
    <t>13.6 V × 0.5 A = 6.8 W receive-standby heat. External mains PSU loss separate. Source current measured at 13.6 V; AU nominal supply differs (13.2 V), so this is overseas reference only. Transmit heat must account for exported RF and actual duty, not this standby number.</t>
  </si>
  <si>
    <t>Icom IC-FR5300 VHF fixed radio/repeater, 13.6 V version — source below</t>
  </si>
  <si>
    <t>https://www.icomjapan.com/lineup/products/IC-FR5300_NXDN/</t>
  </si>
  <si>
    <t>Icom IC-FR5300 VHF fixed radio/repeater, 13.6 V version</t>
  </si>
  <si>
    <t>Public address amplifier</t>
  </si>
  <si>
    <t>Match Yamaha MA2120 PA amplifier. Idle, low-impedance3/4/8Ω mode. Idle heat reference only;70/100 V mode idle20 W. Active input60 W at1/8 pink-noise output includes exported speaker power; active cabinet heat requires subtracting output. DO NOT use for active-operation hours. Zero latent requires no uncaptured moisture. Match room allocation and duty; count once.</t>
  </si>
  <si>
    <t>Idle, low-impedance3/4/8Ω mode</t>
  </si>
  <si>
    <t>Idle heat reference only;70/100 V mode idle20 W. Active input60 W at1/8 pink-noise output includes exported speaker power; active cabinet heat requires subtracting output.</t>
  </si>
  <si>
    <t>Yamaha MA2120 PA amplifier — see source</t>
  </si>
  <si>
    <t>https://data.yamaha.com/files/download/other_assets/8/656218/ma2120_en_sg_a0.pdf</t>
  </si>
  <si>
    <t>Yamaha MA2120 PA amplifier</t>
  </si>
  <si>
    <t>Transport</t>
  </si>
  <si>
    <t>Electric vehicle AC charger</t>
  </si>
  <si>
    <t>NUMERIC EXAMPLE: 54.36 W (0.05436 kW); EXISTING REFERENCE — scope/state limits apply. TO COMPLETE: Indoor cable/EVSE loss allocation at selected charging current; vehicle onboard-charger and battery heat separately; actual vehicle presence. Total EVSE loss example includes test boundary/cable losses; allocate only portions inside room. Vehicle battery/onboard charger losses additional. Full-current loss140.64 W; no-vehicle2.43 W. US/Canada model, not Australian approval. D/E remain unknown; use documented project inputs in Room worksheet I:M once resolved.</t>
  </si>
  <si>
    <t>ENERGY STAR measured total loss at240 V /30 A operation</t>
  </si>
  <si>
    <t>Total EVSE loss example includes test boundary/cable losses; allocate only portions inside room. Vehicle battery/onboard charger losses additional. Full-current loss140.64 W; no-vehicle2.43 W. US/Canada model, not Australian approval.</t>
  </si>
  <si>
    <t>EVIQO EVIPOWER248N AC EVSE — see source</t>
  </si>
  <si>
    <t>https://www.energystar.gov/productfinder/product/certified-evse-ac-output/details/3998895/export/pdf</t>
  </si>
  <si>
    <t>EVIQO EVIPOWER248N AC EVSE</t>
  </si>
  <si>
    <t>Indoor cable/EVSE loss allocation at selected charging current; vehicle onboard-charger and battery heat separately; actual vehicle presence.</t>
  </si>
  <si>
    <t>ENERGY STAR measured total loss at240 V /30 A operation Total EVSE loss example includes test boundary/cable losses; allocate only portions inside room. Vehicle battery/onboard charger losses additional. Full-current loss140.64 W; no-vehicle2.43 W. US/Canada model, not Australian approval. This retains the original reference, including any unresolved source limitations; it is not newly validated net room heat. REQUIRED: Indoor cable/EVSE loss allocation at selected charging current; vehicle onboard-charger and battery heat separately; actual vehicle presence.</t>
  </si>
  <si>
    <t>Electric vehicle DC fast charger</t>
  </si>
  <si>
    <t>Match ABB Terra DC Wallbox IEC (reference, not installed-model confirmation). Calculated upper loss at 22.5 kW continuous output and ≥95% full-power efficiency. 22500 × (1/0.95 − 1) = 1184.21 W upper conversion-loss example, not usual draw. Vehicle/battery and cable heat separate. Include only indoor charger loss. Zero latent requires no uncaptured moisture. Match room allocation and duty; count once.</t>
  </si>
  <si>
    <t>Calculated upper loss at 22.5 kW continuous output and ≥95% full-power efficiency</t>
  </si>
  <si>
    <t>22500 × (1/0.95 − 1) = 1184.21 W upper conversion-loss example, not usual draw. Vehicle/battery and cable heat separate. Include only indoor charger loss.</t>
  </si>
  <si>
    <t>ABB Terra DC Wallbox IEC — source below</t>
  </si>
  <si>
    <t>https://smartsocieties.abb.com/r/035e69a04014e8f208baca3a36681789.pdf</t>
  </si>
  <si>
    <t>ABB Terra DC Wallbox IEC (reference, not installed-model confirmation)</t>
  </si>
  <si>
    <t>Building services</t>
  </si>
  <si>
    <t>Electric domestic hot-water unit</t>
  </si>
  <si>
    <t>Match STIEBEL ELTRON SHC 10, 10-litre electric storage water heater. Standby thermal loss at 65°C; no water draw. Published standby energy 0.48 kWh/24 h gives 0.48 × 1000/24 = 20 W average. This is a small 10 L tank reference, not a large domestic cylinder. Applies if standby losses enter the room; additional pipe losses and draw-off heat need separate accounting. The 1.5 kW heater rating is not room heat. DO NOT use for active-operation hours. Zero latent requires no uncaptured moisture. Match room allocation and duty; count once.</t>
  </si>
  <si>
    <t>Standby thermal loss at 65°C; no water draw</t>
  </si>
  <si>
    <t>Published standby energy 0.48 kWh/24 h gives 0.48 × 1000/24 = 20 W average. This is a small 10 L tank reference, not a large domestic cylinder. Applies if standby losses enter the room; additional pipe losses and draw-off heat need separate accounting. The 1.5 kW heater rating is not room heat.</t>
  </si>
  <si>
    <t>STIEBEL ELTRON SHC 10, 10-litre electric storage water heater — see source</t>
  </si>
  <si>
    <t>https://www.stiebel-eltron.com/en/home/products-solutions/dhw/small_water_heaterswallandfloormountedcylinders/small_water_heaters5to15l/shc-stiebel/shc-15/technical-data.product.pdf</t>
  </si>
  <si>
    <t>STIEBEL ELTRON SHC 10, 10-litre electric storage water heater</t>
  </si>
  <si>
    <t>Electric instantaneous water heater</t>
  </si>
  <si>
    <t>USER-REQUESTED HYPOTHETICAL EXAMPLE: 100 W (0.1 kW). Illustrative instantaneous heater: assumed 10,000 W electrical input minus 9,900 W exported in hot water =100 W local casing/pipe heat; these powers are selected assumptions. Assumed for illustration, not sourced or project-approved. Sensible/latent split unverified. TO COMPLETE: Manufacturer casing and pipe heat losses at selected water temperatures and flow; location and demand schedule. Need casing/pipe losses and water-use conditions. Heating capacity predominantly leaves in hot water. Reference link is supporting method/product context only; no numeric room-heat value established. D/E remain unknown; use documented project inputs in Room worksheet I:M once resolved.</t>
  </si>
  <si>
    <t>Need casing/pipe losses and water-use conditions. Heating capacity predominantly leaves in hot water. Reference link is supporting method/product context only; no numeric room-heat value established.</t>
  </si>
  <si>
    <t>No installed model specified — Electric instantaneous water heater — see source</t>
  </si>
  <si>
    <t>No installed model specified — Electric instantaneous water heater</t>
  </si>
  <si>
    <t>Manufacturer casing and pipe heat losses at selected water temperatures and flow; location and demand schedule.</t>
  </si>
  <si>
    <t>Illustrative instantaneous heater: assumed 10,000 W electrical input minus 9,900 W exported in hot water =100 W local casing/pipe heat; these powers are selected assumptions. REQUIRED: Manufacturer casing and pipe heat losses at selected water temperatures and flow; location and demand schedule.</t>
  </si>
  <si>
    <t>Electric towel rail</t>
  </si>
  <si>
    <t>CONDITIONAL — dry operation only</t>
  </si>
  <si>
    <t>Thermogroup FS66E only: 94 W sensible while energised at dry steady state, with all heat retained in this room. Zero latent applies ONLY to an empty rail or fully dry towels. Wet-towel drying requires a moisture balance; do not use this split. Apply actual on-time; count the same rail once across rows 280 and 382.</t>
  </si>
  <si>
    <t>Manufacturer rated output; conditional dry-room heat inference</t>
  </si>
  <si>
    <t>Thermogroup FS66E product specification — Output 94 Watts</t>
  </si>
  <si>
    <t>https://www.thermogroup.com.au/product/fs66e-straight-round-free-standing-heated-towel-rail/</t>
  </si>
  <si>
    <t>Conditional reference — not engineering-approved</t>
  </si>
  <si>
    <t>Thermogroup FS66E, 240 V; dry steady-state operation</t>
  </si>
  <si>
    <t>Source checked 2026-10-18; assumptions are explicit, not manufacturer engineering approval</t>
  </si>
  <si>
    <t>Electric radiant panel heater</t>
  </si>
  <si>
    <t>Match Dimplex CDE24ECCB micathermic heater. Full 2.4 kW heat output; thermostat cycles. Radiant and convective panel-style heater example. Count cooling gain only when operating; not a continuous average. Zero latent requires no uncaptured moisture. Match room allocation and duty; count once.</t>
  </si>
  <si>
    <t>Full 2.4 kW heat output; thermostat cycles</t>
  </si>
  <si>
    <t>Radiant and convective panel-style heater example. Count cooling gain only when operating; not a continuous average.</t>
  </si>
  <si>
    <t>Dimplex CDE24ECCB micathermic heater — see source</t>
  </si>
  <si>
    <t>https://www.dimplex.com.au/sites/g/files/emiian331/files/2020-07/Specsheets_CDE24ECCB_e2bezd.pdf</t>
  </si>
  <si>
    <t>Dimplex CDE24ECCB micathermic heater</t>
  </si>
  <si>
    <t>Electric dehumidifier</t>
  </si>
  <si>
    <t>NUMERIC EXAMPLE: 785 W (0.785 kW); ELECTRICAL INPUT — not established room heat. TO COMPLETE: Real input and moisture extraction rate at design air conditions; condensate temperature; signed sensible and latent effects. 785 W is a historical electrical/nameplate example, not verified usual use. A dehumidifier converts removed latent energy into sensible heat as well as adding electrical energy; need operating-point moisture extraction and input to establish sensible/latent effects. D/E remain unknown; use documented project inputs in Room worksheet I:M once resolved.</t>
  </si>
  <si>
    <t>785 W is a historical electrical/nameplate example, not verified usual use. A dehumidifier converts removed latent energy into sensible heat as well as adding electrical energy; need operating-point moisture extraction and input to establish sensible/latent effects.</t>
  </si>
  <si>
    <t>Electrical specification only; checked2026-10-16</t>
  </si>
  <si>
    <t>Real input and moisture extraction rate at design air conditions; condensate temperature; signed sensible and latent effects.</t>
  </si>
  <si>
    <t>Existing electrical reference for Electric dehumidifier: 785 W. 785 W is a historical electrical/nameplate example, not verified usual use. A dehumidifier converts removed latent energy into sensible heat as well as adding electrical energy; need operating-point moisture extraction and input to establish sensible/latent effects. This is not a measured sensible/latent room load. Only a closed energy balance can justify equating it to eventual total heat; external steam, refrigerant, fluid, work, storage and exhaust can change that result. REQUIRED: Real input and moisture extraction rate at design air conditions; condensate temperature; signed sensible and latent effects.</t>
  </si>
  <si>
    <t>Portable air purifier</t>
  </si>
  <si>
    <t>Match Philips AC1715/10 (example; not installed-model confirmation). Maximum power. Lower fan speeds consume less. Heat inference: real input becomes sensible heat if retained in this zone; no intentional moisture source. Zero latent requires no uncaptured moisture. Match room allocation and duty; count once.</t>
  </si>
  <si>
    <t>Maximum power</t>
  </si>
  <si>
    <t>Lower fan speeds consume less. Heat inference: real input becomes sensible heat if retained in this zone; no intentional moisture source.</t>
  </si>
  <si>
    <t>Philips AC1715/10 — manufacturer specification</t>
  </si>
  <si>
    <t>https://www.philips.com/c-p/AC1715_10/air-purifier-1000i-series</t>
  </si>
  <si>
    <t>Philips AC1715/10 (example; not installed-model confirmation)</t>
  </si>
  <si>
    <t>Humidifier</t>
  </si>
  <si>
    <t>NUMERIC EXAMPLE: 15 W (0.015 kW); EXISTING REFERENCE — scope/state limits apply. TO COMPLETE: Actual evaporation rate and inlet-water temperature; signed sensible cooling and latent addition; room moisture balance. Existing worksheet rejects negative inputs, so do not force a signed process into it. 15 W is NET TOTAL electrical-energy contribution if water enters at room temperature, no energy storage change and all output stays indoors. NOT 15 W sensible heat: evaporation cools air while adding latent moisture load. Manufacturer humidification test: 250 ml/h at 23±2°C, 30±2% RH; actual rate varies. Sensible/latent split unresolved; not a steam-humidifier example. D/E remain unknown; use documented project inputs in Room worksheet I:M once resolved.</t>
  </si>
  <si>
    <t>Conditional net total electrical heat contribution at maximum 15 W input</t>
  </si>
  <si>
    <t>15 W is NET TOTAL electrical-energy contribution if water enters at room temperature, no energy storage change and all output stays indoors. NOT 15 W sensible heat: evaporation cools air while adding latent moisture load. Manufacturer humidification test: 250 ml/h at 23±2°C, 30±2% RH; actual rate varies. Sensible/latent split unresolved; not a steam-humidifier example.</t>
  </si>
  <si>
    <t>Philips HU4811/90 evaporative humidifier — source below</t>
  </si>
  <si>
    <t>https://www.documents.philips.com/assets/20220122/91d13f97834046b4aa7bae2500bd9bba.pdf</t>
  </si>
  <si>
    <t>Unresolved — evaporative cooling must be included</t>
  </si>
  <si>
    <t>Unresolved — moisture addition must be included</t>
  </si>
  <si>
    <t>Philips HU4811/90 evaporative humidifier</t>
  </si>
  <si>
    <t>Actual evaporation rate and inlet-water temperature; signed sensible cooling and latent addition; room moisture balance. Existing worksheet rejects negative inputs, so do not force a signed process into it.</t>
  </si>
  <si>
    <t>Conditional net total electrical heat contribution at maximum 15 W input 15 W is NET TOTAL electrical-energy contribution if water enters at room temperature, no energy storage change and all output stays indoors. NOT 15 W sensible heat: evaporation cools air while adding latent moisture load. Manufacturer humidification test: 250 ml/h at 23±2°C, 30±2% RH; actual rate varies. Sensible/latent split unresolved; not a steam-humidifier example. This retains the original reference, including any unresolved source limitations; it is not newly validated net room heat. REQUIRED: Actual evaporation rate and inlet-water temperature; signed sensible cooling and latent addition; room moisture balance. Existing worksheet rejects negative inputs, so do not force a signed process into it.</t>
  </si>
  <si>
    <t>Standalone ventilation fan</t>
  </si>
  <si>
    <t>NUMERIC EXAMPLE: 6.4 W (0.0064 kW); ELECTRICAL INPUT — not established room heat. TO COMPLETE: Fan operating point, real input and motor position relative to exhaust; local versus discharged heat; makeup-air load separately. US exhaust fan at 50 CFM/0.1 inch w.g.; 6.4 W input. Exhaust removes fan heat; not automatically room sensible gain. Confirm regional voltage. D/E remain unknown; use documented project inputs in Room worksheet I:M once resolved.</t>
  </si>
  <si>
    <t>US exhaust fan at 50 CFM/0.1 inch w.g.; 6.4 W input. Exhaust removes fan heat; not automatically room sensible gain. Confirm regional voltage.</t>
  </si>
  <si>
    <t>Delta BreezSlim 50F — source below</t>
  </si>
  <si>
    <t>https://deltabreez.com/50F.php</t>
  </si>
  <si>
    <t>Delta BreezSlim 50F (reference, not installed-model confirmation)</t>
  </si>
  <si>
    <t>Fan operating point, real input and motor position relative to exhaust; local versus discharged heat; makeup-air load separately.</t>
  </si>
  <si>
    <t>Existing electrical reference for Standalone ventilation fan: 6.4 W. US exhaust fan at 50 CFM/0.1 inch w.g.; 6.4 W input. Exhaust removes fan heat; not automatically room sensible gain. Confirm regional voltage. This is not a measured sensible/latent room load. Only a closed energy balance can justify equating it to eventual total heat; external steam, refrigerant, fluid, work, storage and exhaust can change that result. REQUIRED: Fan operating point, real input and motor position relative to exhaust; local versus discharged heat; makeup-air load separately.</t>
  </si>
  <si>
    <t>Small electric pump</t>
  </si>
  <si>
    <t>USER-REQUESTED HYPOTHETICAL EXAMPLE: 20 W (0.02 kW). Illustrative small pump: assumed 100 W input with 80 W exported via fluid and 20 W local loss; actual pump/flow/head not selected. Assumed for illustration, not sourced or project-approved. Sensible/latent split unverified. TO COMPLETE: Selected pump, flow/head, real input and local motor loss; fluid energy destination and duty. Need pump model, real draw, operating point and fluid/system heat boundary. Reference link is supporting method/product context only; no numeric room-heat value established. D/E remain unknown; use documented project inputs in Room worksheet I:M once resolved.</t>
  </si>
  <si>
    <t>Need pump model, real draw, operating point and fluid/system heat boundary. Reference link is supporting method/product context only; no numeric room-heat value established.</t>
  </si>
  <si>
    <t>No installed model specified — Small electric pump — see source</t>
  </si>
  <si>
    <t>No installed model specified — Small electric pump</t>
  </si>
  <si>
    <t>Selected pump, flow/head, real input and local motor loss; fluid energy destination and duty.</t>
  </si>
  <si>
    <t>Illustrative small pump: assumed 100 W input with 80 W exported via fluid and 20 W local loss; actual pump/flow/head not selected. REQUIRED: Selected pump, flow/head, real input and local motor loss; fluid energy destination and duty.</t>
  </si>
  <si>
    <t>Battery energy storage inverter</t>
  </si>
  <si>
    <t>Match SMA Sunny Island 6.0H /8.0H. No-load consumption; standby6.5 W. No-load inverter loss example only. Active conversion loss requires operating-point efficiency; maximum95.8% cannot represent every load. Battery losses separate. DO NOT use for active-operation hours. Zero latent requires no uncaptured moisture. Match room allocation and duty; count once.</t>
  </si>
  <si>
    <t>No-load consumption; standby6.5 W</t>
  </si>
  <si>
    <t>No-load inverter loss example only. Active conversion loss requires operating-point efficiency; maximum95.8% cannot represent every load. Battery losses separate.</t>
  </si>
  <si>
    <t>SMA Sunny Island 6.0H /8.0H — see source</t>
  </si>
  <si>
    <t>https://files.sma.de/downloads/SI_OFF_ON_6H_8H-DEN1642-V21web.pdf</t>
  </si>
  <si>
    <t>SMA Sunny Island 6.0H /8.0H</t>
  </si>
  <si>
    <t>Data centre</t>
  </si>
  <si>
    <t>High-density GPU compute server</t>
  </si>
  <si>
    <t>Match NVIDIA DGX H100 (example; not installed-model confirmation). Maximum whole-system allowance. Air-cooled system example; not typical workload. Liquid-cooled alternatives require a different room allocation. Heat inference: real input becomes sensible heat if retained in this zone; no intentional moisture source. Zero latent requires no uncaptured moisture. Match room allocation and duty; count once.</t>
  </si>
  <si>
    <t>Maximum whole-system allowance</t>
  </si>
  <si>
    <t>Air-cooled system example; not typical workload. Liquid-cooled alternatives require a different room allocation. Heat inference: real input becomes sensible heat if retained in this zone; no intentional moisture source.</t>
  </si>
  <si>
    <t>NVIDIA DGX H100 — manufacturer specification</t>
  </si>
  <si>
    <t>https://docs.nvidia.com/dgx/dgxh100-user-guide/introduction-to-dgxh100.html</t>
  </si>
  <si>
    <t>NVIDIA DGX H100 (example; not installed-model confirmation)</t>
  </si>
  <si>
    <t>AI accelerator server</t>
  </si>
  <si>
    <t>Blade server chassis</t>
  </si>
  <si>
    <t>Match Cisco UCS 5108 with eight half-width blades; historical planning example. Explicit example: Cisco 5108 chassis + eight half-width blades. Historical Cisco cooling guide: chassis up to 1364 Btu/h plus approximately 1350 Btu/h per half-width blade. (1364 + 8×1350) × 0.29307107 ≈ 3565 W. Configuration example, NOT usual heat for every blade chassis. External fabric interconnects excluded; do not count blades again. Zero latent requires no uncaptured moisture. Match room allocation and duty; count once.</t>
  </si>
  <si>
    <t>Explicit example: Cisco 5108 chassis + eight half-width blades</t>
  </si>
  <si>
    <t>Historical Cisco cooling guide: chassis up to 1364 Btu/h plus approximately 1350 Btu/h per half-width blade. (1364 + 8×1350) × 0.29307107 ≈ 3565 W. Configuration example, NOT usual heat for every blade chassis. External fabric interconnects excluded; do not count blades again.</t>
  </si>
  <si>
    <t>Cisco UCS Site Preparation Guide, Technical Specifications, Facility Cooling Requirements</t>
  </si>
  <si>
    <t>https://www.cisco.com/c/en/us/td/docs/unified_computing/ucs/hw/site-prep-guide/ucs_siteprep_chapter_011.html</t>
  </si>
  <si>
    <t>Cisco UCS 5108 with eight half-width blades; historical planning example</t>
  </si>
  <si>
    <t>Cooling-planning estimate with chassis upper allowance; not measured workload</t>
  </si>
  <si>
    <t>Storage array — enterprise</t>
  </si>
  <si>
    <t>Match Synology RackStation RS2423RP+ (reference, not installed-model confirmation). Manufacturer access-test operating state. Example small rack storage appliance, not all enterprise arrays. Published 42.33 W HDD hibernation; drives/workload alter load. Zero latent requires no uncaptured moisture. Match room allocation and duty; count once.</t>
  </si>
  <si>
    <t>Manufacturer access-test operating state</t>
  </si>
  <si>
    <t>Example small rack storage appliance, not all enterprise arrays. Published 42.33 W HDD hibernation; drives/workload alter load.</t>
  </si>
  <si>
    <t>Synology RackStation RS2423RP+ — source below</t>
  </si>
  <si>
    <t>https://global.download.synology.com/download/Document/Hardware/ProductSpec/RackStation/23-year/RS2423RP%2B/enu/Product_Spec_RS2423RP%2B_enu.pdf</t>
  </si>
  <si>
    <t>Synology RackStation RS2423RP+ (reference, not installed-model confirmation)</t>
  </si>
  <si>
    <t>Fibre-channel storage switch</t>
  </si>
  <si>
    <t>Match Brocade G610 (reference, not installed-model confirmation). All 24 ports with 32G SWL optics. OEM technical data; configuration-specific AC input. Zero latent requires no uncaptured moisture. Match room allocation and duty; count once.</t>
  </si>
  <si>
    <t>All 24 ports with 32G SWL optics</t>
  </si>
  <si>
    <t>OEM technical data; configuration-specific AC input.</t>
  </si>
  <si>
    <t>Brocade G610 — source below</t>
  </si>
  <si>
    <t>https://sp.ts.fujitsu.com/dmsp/Publications/public/ds-brocadeG610-en.pdf</t>
  </si>
  <si>
    <t>Brocade G610 (reference, not installed-model confirmation)</t>
  </si>
  <si>
    <t>Core network switch</t>
  </si>
  <si>
    <t>Match Cisco Nexus N93180YC-FX (reference, not installed-model confirmation). Published typical power; maximum 425 W. Approximate sensible heat from typical power; configuration and optics matter. Do not substitute PSU capacity. Zero latent requires no uncaptured moisture. Match room allocation and duty; count once.</t>
  </si>
  <si>
    <t>Published typical power; maximum 425 W</t>
  </si>
  <si>
    <t>Approximate sensible heat from typical power; configuration and optics matter. Do not substitute PSU capacity.</t>
  </si>
  <si>
    <t>Cisco Nexus N93180YC-FX — source below</t>
  </si>
  <si>
    <t>https://www.cisco.com/c/en/us/products/collateral/switches/nexus-9000-series-switches/datasheet-c78-742284.html</t>
  </si>
  <si>
    <t>Cisco Nexus N93180YC-FX (reference, not installed-model confirmation)</t>
  </si>
  <si>
    <t>Network security appliance / firewall</t>
  </si>
  <si>
    <t>Match Fortinet FortiGate 60F (reference, not installed-model confirmation). Manufacturer average; maximum 12.43 W. 60F column in current document despite legacy filename. Do not substitute 61F or FortiWiFi values. Zero latent requires no uncaptured moisture. Match room allocation and duty; count once.</t>
  </si>
  <si>
    <t>Manufacturer average; maximum 12.43 W</t>
  </si>
  <si>
    <t>60F column in current document despite legacy filename. Do not substitute 61F or FortiWiFi values.</t>
  </si>
  <si>
    <t>Fortinet FortiGate 60F — source below</t>
  </si>
  <si>
    <t>https://www.fortinet.com/content/dam/fortinet/assets/data-sheets/FortiGate_FortiWiFi_60E_Series.pdf</t>
  </si>
  <si>
    <t>Fortinet FortiGate 60F (reference, not installed-model confirmation)</t>
  </si>
  <si>
    <t>Load balancer appliance</t>
  </si>
  <si>
    <t>F5 BIG-IP i2000 (i2600/i2800), AC power. 410BTU/h×0.293071=120.2W, rounded. Maximum planning example, not typical load. Whole appliance rejects heat into room; do not multiply by two for dual supplies. Separate appliances counted separately. Replaces ambiguous Loadbalancer.org reference. Typical heat/power columns disagree slightly; maximum used explicitly, not averaged. E=0 requires no uncaptured moisture. Confirm installed equipment and conditions; no engineering approval implied. G/H retain the earlier reference.</t>
  </si>
  <si>
    <t>Manufacturer maximum heat, single or dual AC supply</t>
  </si>
  <si>
    <t>410BTU/h×0.293071=120.2W, rounded. Maximum planning example, not typical load. Whole appliance rejects heat into room; do not multiply by two for dual supplies. Separate appliances counted separately. Replaces ambiguous Loadbalancer.org reference. Typical heat/power columns disagree slightly; maximum used explicitly, not averaged. Previous reference/model context (not current D): Upper electrical-to-heat reference, not a verified typical operating state. Confirm configured appliance and pair meaning with vendor.</t>
  </si>
  <si>
    <t>F5 i2000 platform power specifications:410BTU/h maximum AC heat</t>
  </si>
  <si>
    <t>https://techdocs.f5.com/en-us/hw-platforms/platform-guide-i2000i4000-series/title--platform-specifications.html</t>
  </si>
  <si>
    <t>F5 BIG-IP i2000 (i2600/i2800), AC power</t>
  </si>
  <si>
    <t>KVM-over-IP switch</t>
  </si>
  <si>
    <t>Match ATEN CN8000A (example; not installed-model confirmation). Published device consumption at 5.3 V DC. 2021 manual specification; external adaptor losses excluded. Other revisions/specification pages differ; verify installed unit. Heat estimate assumes input energy is ultimately retained as sensible heat in the zone; no intentional moisture source. Zero latent requires no uncaptured moisture. Match room allocation and duty; count once.</t>
  </si>
  <si>
    <t>Published device consumption at 5.3 V DC</t>
  </si>
  <si>
    <t>2021 manual specification; external adaptor losses excluded. Other revisions/specification pages differ; verify installed unit. Heat estimate assumes input energy is ultimately retained as sensible heat in the zone; no intentional moisture source.</t>
  </si>
  <si>
    <t>ATEN CN8000A — manufacturer specification</t>
  </si>
  <si>
    <t>https://assets.aten.com/product/manual/cn8000a_um_w_2021-01-04.pdf</t>
  </si>
  <si>
    <t>ATEN CN8000A (example; not installed-model confirmation)</t>
  </si>
  <si>
    <t>Out-of-band management appliance</t>
  </si>
  <si>
    <t>Match Opengear CM7100 family (reference, not installed-model confirmation). Upper published 15–20 W operating range, 16–48 ports. Reference console server range; match port count and model. Zero latent requires no uncaptured moisture. Match room allocation and duty; count once.</t>
  </si>
  <si>
    <t>Upper published 15–20 W operating range, 16–48 ports</t>
  </si>
  <si>
    <t>Reference console server range; match port count and model.</t>
  </si>
  <si>
    <t>Opengear CM7100 family — source below</t>
  </si>
  <si>
    <t>https://opengear.com/brochures/product-cm7100.pdf</t>
  </si>
  <si>
    <t>Opengear CM7100 family (reference, not installed-model confirmation)</t>
  </si>
  <si>
    <t>Rack-mounted PDU — electrical losses</t>
  </si>
  <si>
    <t>NUMERIC EXAMPLE: 5 W (0.005 kW); EXISTING REFERENCE — scope/state limits apply. TO COMPLETE: AP88XX model and actual current-dependent conductor/contact losses in addition to the 5 W fixed electronics reference. Schneider FAQ rechecked 19 Oct 2026: 5 W is fixed AP88XX electronics consumption; current-dependent resistive losses are explicitly excluded. Never add pass-through IT power as PDU heat. D/E remain unknown; use documented project inputs in Room worksheet I:M once resolved.</t>
  </si>
  <si>
    <t>Fixed electronics consumption only</t>
  </si>
  <si>
    <t>5 W excludes current-dependent conductor/contact losses. Never add pass-through IT power as PDU heat.</t>
  </si>
  <si>
    <t>APC AP88XX metered rack PDU — see source</t>
  </si>
  <si>
    <t>https://www.se.com/ie/en/faqs/FA156173/</t>
  </si>
  <si>
    <t>APC AP88XX metered rack PDU</t>
  </si>
  <si>
    <t>AP88XX model and actual current-dependent conductor/contact losses in addition to the 5 W fixed electronics reference.</t>
  </si>
  <si>
    <t>Fixed electronics consumption only 5 W excludes current-dependent conductor/contact losses. Never add pass-through IT power as PDU heat. This retains the original reference, including any unresolved source limitations; it is not newly validated net room heat. REQUIRED: AP88XX model and actual current-dependent conductor/contact losses in addition to the 5 W fixed electronics reference.</t>
  </si>
  <si>
    <t>Battery cabinet — UPS losses</t>
  </si>
  <si>
    <t>USER-REQUESTED HYPOTHETICAL EXAMPLE: 100 W (0.1 kW). Illustrative battery cabinet: assumed 10,000 W charge input with 9,900 W net stored/exported =100 W battery heat; charger losses excluded and must be added separately. Assumed for illustration, not sourced or project-approved. Sensible/latent split unverified. TO COMPLETE: Battery chemistry and cell count; manufacturer float/charge/discharge heat data at actual currents; charger heat counted separately. Need chemistry, cell count, float/charge/discharge current and loss data. Battery cabinet heat is not full UPS output. Reference link is supporting method/product context only; no numeric room-heat value established. D/E remain unknown; use documented project inputs in Room worksheet I:M once resolved.</t>
  </si>
  <si>
    <t>Need chemistry, cell count, float/charge/discharge current and loss data. Battery cabinet heat is not full UPS output. Reference link is supporting method/product context only; no numeric room-heat value established.</t>
  </si>
  <si>
    <t>No installed model specified — Battery cabinet — UPS losses — see source</t>
  </si>
  <si>
    <t>No installed model specified — Battery cabinet — UPS losses</t>
  </si>
  <si>
    <t>Battery chemistry and cell count; manufacturer float/charge/discharge heat data at actual currents; charger heat counted separately.</t>
  </si>
  <si>
    <t>Illustrative battery cabinet: assumed 10,000 W charge input with 9,900 W net stored/exported =100 W battery heat; charger losses excluded and must be added separately. REQUIRED: Battery chemistry and cell count; manufacturer float/charge/discharge heat data at actual currents; charger heat counted separately.</t>
  </si>
  <si>
    <t>Server rack cooling fan unit</t>
  </si>
  <si>
    <t>Match AC Infinity CLOUDPLATE T1. Published12 V DC rack-fan system power. Complete1U fan assembly8 W reference. Approximate sensible heat when rack exhaust stays in same room; adapter losses additional if outside stated DC rating. Fan-speed setting affects actual power. Zero latent requires no uncaptured moisture. Match room allocation and duty; count once.</t>
  </si>
  <si>
    <t>Published12 V DC rack-fan system power</t>
  </si>
  <si>
    <t>Complete1U fan assembly8 W reference. Approximate sensible heat when rack exhaust stays in same room; adapter losses additional if outside stated DC rating. Fan-speed setting affects actual power.</t>
  </si>
  <si>
    <t>AC Infinity CLOUDPLATE T1 — see source</t>
  </si>
  <si>
    <t>https://acinfinity.com/cloudplate-t1-quiet-rack-cooling-fan-system-1u-exhaust/</t>
  </si>
  <si>
    <t>AC Infinity CLOUDPLATE T1</t>
  </si>
  <si>
    <t>In-row cooling unit — fan and controls only</t>
  </si>
  <si>
    <t>NUMERIC EXAMPLE: 805 W (0.805 kW); EXISTING REFERENCE — scope/state limits apply. TO COMPLETE: Selected fan speed and actual auxiliary input; position relative to cooling coil; whether coil capacity already includes fan heat. Manufacturer maximum operating input 805 W for this chilled-water unit, taken as internal auxiliary heat to air/water system. NOT its cooling capacity (up to 40 kW), nor compressor power. Allocation upstream/downstream of coil must be checked; do not add again if cooling selection already includes fan heat. Not a typical speed allowance. D/E remain unknown; use documented project inputs in Room worksheet I:M once resolved.</t>
  </si>
  <si>
    <t>Maximum operating electrical heat allowance; fan/control subsystem</t>
  </si>
  <si>
    <t>Manufacturer maximum operating input 805 W for this chilled-water unit, taken as internal auxiliary heat to air/water system. NOT its cooling capacity (up to 40 kW), nor compressor power. Allocation upstream/downstream of coil must be checked; do not add again if cooling selection already includes fan heat. Not a typical speed allowance.</t>
  </si>
  <si>
    <t>Schneider Uniflair InRow RC ACRC301S chilled-water unit — source below</t>
  </si>
  <si>
    <t>https://www.se.com/us/en/product/ACRC301S/uniflair-inrow-rc-300mm-chilled-water-100240v-50-60-hz/</t>
  </si>
  <si>
    <t>Schneider Uniflair InRow RC ACRC301S chilled-water unit</t>
  </si>
  <si>
    <t>Selected fan speed and actual auxiliary input; position relative to cooling coil; whether coil capacity already includes fan heat.</t>
  </si>
  <si>
    <t>Maximum operating electrical heat allowance; fan/control subsystem Manufacturer maximum operating input 805 W for this chilled-water unit, taken as internal auxiliary heat to air/water system. NOT its cooling capacity (up to 40 kW), nor compressor power. Allocation upstream/downstream of coil must be checked; do not add again if cooling selection already includes fan heat. Not a typical speed allowance. This retains the original reference, including any unresolved source limitations; it is not newly validated net room heat. REQUIRED: Selected fan speed and actual auxiliary input; position relative to cooling coil; whether coil capacity already includes fan heat.</t>
  </si>
  <si>
    <t>Telecommunications</t>
  </si>
  <si>
    <t>Cellular base-station equipment</t>
  </si>
  <si>
    <t>NUMERIC EXAMPLE: 35 W (0.035 kW); ELECTRICAL INPUT — not established room heat. TO COMPLETE: Installed base-station configuration, RF power exported, DC supply losses, traffic state and indoor equipment location. Small LTE unit, not macrocell site. RF output exported to antennas; enclosure loss and indoor/outdoor location must be established before room gain. D/E remain unknown; use documented project inputs in Room worksheet I:M once resolved.</t>
  </si>
  <si>
    <t>Typical consumption including embedded EPC</t>
  </si>
  <si>
    <t>Small LTE unit, not macrocell site. RF output exported to antennas; enclosure loss and indoor/outdoor location must be established before room gain.</t>
  </si>
  <si>
    <t>Cubic M3C-BST cellular base station — see source</t>
  </si>
  <si>
    <t>https://www.cubic.com/sites/default/files/CMPS_Datasheet_M3C-BST.pdf</t>
  </si>
  <si>
    <t>Cubic M3C-BST cellular base station</t>
  </si>
  <si>
    <t>Installed base-station configuration, RF power exported, DC supply losses, traffic state and indoor equipment location.</t>
  </si>
  <si>
    <t>Existing electrical reference for Cellular base-station equipment: 35 W. Small LTE unit, not macrocell site. RF output exported to antennas; enclosure loss and indoor/outdoor location must be established before room gain. This is not a measured sensible/latent room load. Only a closed energy balance can justify equating it to eventual total heat; external steam, refrigerant, fluid, work, storage and exhaust can change that result. REQUIRED: Installed base-station configuration, RF power exported, DC supply losses, traffic state and indoor equipment location.</t>
  </si>
  <si>
    <t>Distributed antenna system equipment</t>
  </si>
  <si>
    <t>USER-REQUESTED HYPOTHETICAL EXAMPLE: 200 W (0.2 kW). Illustrative DAS: assumed 250 W system input minus 50 W power exported beyond the room =200 W heat; equipment inventory is hypothetical. Assumed for illustration, not sourced or project-approved. Sensible/latent split unverified. TO COMPLETE: Head-end/remote-unit inventory and loss data; RF and power exported to antennas; room location and workload. Need head-end/remote-unit configuration, RF output, cable loss and which units are inside each room. Reference link is supporting method/product context only; no numeric room-heat value established. D/E remain unknown; use documented project inputs in Room worksheet I:M once resolved.</t>
  </si>
  <si>
    <t>Need head-end/remote-unit configuration, RF output, cable loss and which units are inside each room. Reference link is supporting method/product context only; no numeric room-heat value established.</t>
  </si>
  <si>
    <t>No installed model specified — Distributed antenna system equipment — see source</t>
  </si>
  <si>
    <t>https://www.itu.int/rec/dologin_pub.asp?id=T-REC-L.Sup45-202112-I%21%21PDF-E&amp;lang=e&amp;type=items</t>
  </si>
  <si>
    <t>No installed model specified — Distributed antenna system equipment</t>
  </si>
  <si>
    <t>Head-end/remote-unit inventory and loss data; RF and power exported to antennas; room location and workload.</t>
  </si>
  <si>
    <t>Illustrative DAS: assumed 250 W system input minus 50 W power exported beyond the room =200 W heat; equipment inventory is hypothetical. REQUIRED: Head-end/remote-unit inventory and loss data; RF and power exported to antennas; room location and workload.</t>
  </si>
  <si>
    <t>Radio repeater</t>
  </si>
  <si>
    <t>Match Tait TB8100 transportable repeater. DC standby only — transmitter inactive. Published standby 0.67 A at 12 V gives 8.04 W, approximated as local heat while not transmitting. Excludes upstream AC/DC supply loss. Not transmit operation; 50 W rating/factory 15 W setting and 5 A transmit entry must be resolved before assigning active heat. DO NOT use for active-operation hours. Zero latent requires no uncaptured moisture. Match room allocation and duty; count once.</t>
  </si>
  <si>
    <t>DC standby only — transmitter inactive</t>
  </si>
  <si>
    <t>Published standby 0.67 A at 12 V gives 8.04 W, approximated as local heat while not transmitting. Excludes upstream AC/DC supply loss. Not transmit operation; 50 W rating/factory 15 W setting and 5 A transmit entry must be resolved before assigning active heat.</t>
  </si>
  <si>
    <t>Tait TB8100 transportable repeater — source below</t>
  </si>
  <si>
    <t>https://matrix.taitradio.com/__data/assets/pdf_file/0006/132873/Tait_SS_TB8100_Transportable_Repeater_.pdf</t>
  </si>
  <si>
    <t>Tait TB8100 transportable repeater</t>
  </si>
  <si>
    <t>Satellite communications terminal</t>
  </si>
  <si>
    <t>NUMERIC EXAMPLE: 100 W (0.1 kW); ELECTRICAL INPUT — not established room heat. TO COMPLETE: Separate indoor router/supply losses from outdoor antenna and cable power; actual operating/heater state. Includes outdoor antenna, router, supply and cables. Indoor room allocation cannot be obtained from total; do not put 100 W wholly indoors. D/E remain unknown; use documented project inputs in Room worksheet I:M once resolved.</t>
  </si>
  <si>
    <t>Upper published average AC input range 75–100 W</t>
  </si>
  <si>
    <t>Includes outdoor antenna, router, supply and cables. Indoor room allocation cannot be obtained from total; do not put 100 W wholly indoors.</t>
  </si>
  <si>
    <t>Starlink Standard 4 — source below</t>
  </si>
  <si>
    <t>https://starlink.com/en-il/support/article/18836c7e-2d97-6153-fe67-c18427bd0558</t>
  </si>
  <si>
    <t>Starlink Standard 4 (reference, not installed-model confirmation)</t>
  </si>
  <si>
    <t>Separate indoor router/supply losses from outdoor antenna and cable power; actual operating/heater state.</t>
  </si>
  <si>
    <t>Existing electrical reference for Satellite communications terminal: 100 W. Includes outdoor antenna, router, supply and cables. Indoor room allocation cannot be obtained from total; do not put 100 W wholly indoors. This is not a measured sensible/latent room load. Only a closed energy balance can justify equating it to eventual total heat; external steam, refrigerant, fluid, work, storage and exhaust can change that result. REQUIRED: Separate indoor router/supply losses from outdoor antenna and cable power; actual operating/heater state.</t>
  </si>
  <si>
    <t>Fibre-optic transmission equipment</t>
  </si>
  <si>
    <t>Match Cisco NCS 1002, 80×10G mode. Approximate upper heat allowance at published typical input; optical export neglected. Typical electrical input 1050 W used as an approximate enclosure/room heat allowance when installed indoors. This deliberately neglects exported optical power, so is not measured thermal output. Maximum input is 1450 W in this mode. Match port configuration; no additional power-supply output or whole-rack allowance. Zero latent requires no uncaptured moisture. Match room allocation and duty; count once.</t>
  </si>
  <si>
    <t>Approximate upper heat allowance at published typical input; optical export neglected</t>
  </si>
  <si>
    <t>Typical electrical input 1050 W used as an approximate enclosure/room heat allowance when installed indoors. This deliberately neglects exported optical power, so is not measured thermal output. Maximum input is 1450 W in this mode. Match port configuration; no additional power-supply output or whole-rack allowance.</t>
  </si>
  <si>
    <t>Cisco NCS 1002, 80×10G mode — source below</t>
  </si>
  <si>
    <t>https://www.cisco.com/site/us/en/products/networking/optical-networking/network-convergence-system-1000-series/models-comparison/index.html</t>
  </si>
  <si>
    <t>Cisco NCS 1002, 80×10G mode</t>
  </si>
  <si>
    <t>Commercial kitchen</t>
  </si>
  <si>
    <t>Combi steam oven</t>
  </si>
  <si>
    <t>CONDITIONAL — published emissions</t>
  </si>
  <si>
    <t>Convotherm OES 6.10 mini mobile only: 402.78 W sensible + 369.44 W latent (1450 and 1330 kJ/h ÷ 3.6). Use only when the project reviewer accepts these published emissions for the installed mode and exhaust arrangement. Datasheet does not identify test duty/mode or establish peak door-opening releases. Do not add 7.1 kW connected load; calculate hood makeup air separately.</t>
  </si>
  <si>
    <t>Published emissions; test duty/mode not stated — project applicability required</t>
  </si>
  <si>
    <t>Moffat / Convotherm specification AN.CON.S.1702, p2, EMISSIONS</t>
  </si>
  <si>
    <t>https://www.moffat.com.au/sites/default/files/products/specification/OES_6_10_MINI_MOBILE_AN.pdf</t>
  </si>
  <si>
    <t>Food service / hospitality</t>
  </si>
  <si>
    <t>Convotherm OES 6.10 mini mobile, 6-tray electric combi oven</t>
  </si>
  <si>
    <t>Commercial microwave — high-power</t>
  </si>
  <si>
    <t>Match ASHRAE 2017 example: Commercial microwave, rated 1700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</si>
  <si>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ASHRAE 2017 example: Commercial microwave, rated 1700 W — source below</t>
  </si>
  <si>
    <t>ASHRAE 2017 example: Commercial microwave, rated 1700 W (reference, not installed-model confirmation)</t>
  </si>
  <si>
    <t>Commercial rice cooker</t>
  </si>
  <si>
    <t>Match ASHRAE 2017 example: Rice cooker, rated 1550 W (reference, not installed-model confirmation). Table 5B; cooking, unhooded. Reference test example, not the installed appliance or a universal typical value. Preserve stated hood/state and confirm duty. Published total retained; rounded components may not sum exactly. Keep sensible and latent separate. Match room allocation and duty; count once.</t>
  </si>
  <si>
    <t>ASHRAE 2017 example: Rice cooker, rated 1550 W — source below</t>
  </si>
  <si>
    <t>ASHRAE 2017 example: Rice cooker, rated 1550 W (reference, not installed-model confirmation)</t>
  </si>
  <si>
    <t>Pasta cooker</t>
  </si>
  <si>
    <t>NUMERIC EXAMPLE: 500 W (0.5 kW); ELECTRICAL INPUT — not established room heat. TO COMPLETE: Steam inlet/condensate energy balance and throughput; hood capture; local sensible and latent release; auxiliary power separately. 500 W controls/auxiliaries does NOT represent total cooking heat. External steam consumption120 kg/h is additional; need hood and steam balance. D/E remain unknown; use documented project inputs in Room worksheet I:M once resolved.</t>
  </si>
  <si>
    <t>Electrical auxiliaries only; external steam heating</t>
  </si>
  <si>
    <t>500 W controls/auxiliaries does NOT represent total cooking heat. External steam consumption120 kg/h is additional; need hood and steam balance.</t>
  </si>
  <si>
    <t>Electrolux CR40V/CR42V steam pasta cooker — see source</t>
  </si>
  <si>
    <t>https://tools.electroluxprofessional.com/Mirror/Doc/HB/HB_027006800_1_2_027.0068.00-CUOCIPASTA_CR40-42V_EN.pdf?version=1773679559</t>
  </si>
  <si>
    <t>Electrolux CR40V/CR42V steam pasta cooker</t>
  </si>
  <si>
    <t>Steam inlet/condensate energy balance and throughput; hood capture; local sensible and latent release; auxiliary power separately.</t>
  </si>
  <si>
    <t>Existing electrical reference for Pasta cooker: 500 W. 500 W controls/auxiliaries does NOT represent total cooking heat. External steam consumption120 kg/h is additional; need hood and steam balance. This is not a measured sensible/latent room load. Only a closed energy balance can justify equating it to eventual total heat; external steam, refrigerant, fluid, work, storage and exhaust can change that result. REQUIRED: Steam inlet/condensate energy balance and throughput; hood capture; local sensible and latent release; auxiliary power separately.</t>
  </si>
  <si>
    <t>Electric salamander grill</t>
  </si>
  <si>
    <t>Match ASHRAE 2017 example: Electric salamander, rated 7004 W (reference, not installed-model confirmation). Table 5C; hooded, idle/ready only.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</si>
  <si>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ASHRAE 2017 example: Electric salamander, rated 7004 W — source below</t>
  </si>
  <si>
    <t>ASHRAE 2017 example: Electric salamander, rated 7004 W (reference, not installed-model confirmation)</t>
  </si>
  <si>
    <t>Commercial induction range</t>
  </si>
  <si>
    <t>One countertop hob: 318 W sensible + 335 W latent. Not the previous four-zone Induc range. Match cooking and ventilation; do not multiply by zones or electrical rating without a reviewed operating basis. Project applicability must be confirmed; not engineering-approved.</t>
  </si>
  <si>
    <t>Current D/E: Countertop induction hob; ASHRAE test example. Previous reference retained for traceability: Induc IND-E0P-E3.5-4TL quadruple induction range (reference, not installed-model confirmation); Maximum connected input, not typical cooking or room gain. Hood capture, pan load, simultaneous use and moisture required.</t>
  </si>
  <si>
    <t>Rated electrical 5000 W; not room heat</t>
  </si>
  <si>
    <t>Countertop induction hob; ASHRAE test example</t>
  </si>
  <si>
    <t>Commercial electric range</t>
  </si>
  <si>
    <t>Match ASHRAE 2017 example: Six-element electric range and oven, rated 19870 W (reference, not installed-model confirmation). Table 5C; all elements/oven on, idle/ready.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</si>
  <si>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Table 5C; all elements/oven on, idle/ready</t>
  </si>
  <si>
    <t>ASHRAE 2017 example: Six-element electric range and oven, rated 19870 W — source below</t>
  </si>
  <si>
    <t>ASHRAE 2017 example: Six-element electric range and oven, rated 19870 W (reference, not installed-model confirmation)</t>
  </si>
  <si>
    <t>Electric chargrill</t>
  </si>
  <si>
    <t>Match ASHRAE 2025 Fundamentals ch18 Table 8C — 900 mm underfired electric broiler. Hooded appliance at idle / ready-to-cook condition. Published radiant room gain 3165 W for 900 mm electric underfired broiler; 10814 W rated and 9056 W standby electrical input. Hood captures convective/latent plume in this reference. Not an unhooded or active-cooking total, and not a gas or charcoal chargrill. Hood capture, subtype and operating state must match. DO NOT use for active-operation hours. Zero latent requires no uncaptured moisture. Match room allocation and duty; count once.</t>
  </si>
  <si>
    <t>Hooded appliance at idle / ready-to-cook condition</t>
  </si>
  <si>
    <t>Published radiant room gain 3165 W for 900 mm electric underfired broiler; 10814 W rated and 9056 W standby electrical input. Hood captures convective/latent plume in this reference. Not an unhooded or active-cooking total, and not a gas or charcoal chargrill. Hood capture, subtype and operating state must match.</t>
  </si>
  <si>
    <t>ASHRAE 2025 Fundamentals ch18 Table 8C — 900 mm underfired electric broiler — see source</t>
  </si>
  <si>
    <t>ASHRAE 2025 Fundamentals ch18 Table 8C — 900 mm underfired electric broiler</t>
  </si>
  <si>
    <t>Published heat example; checked 2026-10-16</t>
  </si>
  <si>
    <t>Commercial pressure fryer</t>
  </si>
  <si>
    <t>Match ASHRAE 2017 example: Pressure fryer, rated 13511 W (reference, not installed-model confirmation). Table 5C; hooded, idle/ready only. Reference test example, not the installed appliance or a universal typical value. Preserve stated hood/state and confirm duty. Published total retained; rounded components may not sum exactly. DO NOT use for active-operation hours. Zero latent requires no uncaptured moisture. Match room allocation and duty; count once.</t>
  </si>
  <si>
    <t>ASHRAE 2017 example: Pressure fryer, rated 13511 W — source below</t>
  </si>
  <si>
    <t>ASHRAE 2017 example: Pressure fryer, rated 13511 W (reference, not installed-model confirmation)</t>
  </si>
  <si>
    <t>Heated serving counter</t>
  </si>
  <si>
    <t>Bain-marie / food well</t>
  </si>
  <si>
    <t>Match ASHRAE 2017 example: Two-well steam table, rated 1495 W (reference, not installed-model confirmation). Table 5A; unhooded, idle. Reference test example, not the installed appliance or a universal typical value. Preserve stated hood/state and confirm duty. Published total retained; rounded components may not sum exactly. DO NOT use for active-operation hours. Keep sensible and latent separate. Match room allocation and duty; count once.</t>
  </si>
  <si>
    <t>Table 5A; unhooded, idle</t>
  </si>
  <si>
    <t>ASHRAE 2017 example: Two-well steam table, rated 1495 W — source below</t>
  </si>
  <si>
    <t>ASHRAE 2017 example: Two-well steam table, rated 1495 W (reference, not installed-model confirmation)</t>
  </si>
  <si>
    <t>Blast chiller</t>
  </si>
  <si>
    <t>NUMERIC EXAMPLE: 5000 W (5 kW); ELECTRICAL INPUT — not established room heat. TO COMPLETE: Actual blast-chiller variant, cooling/rejection locations, food throughput, door/defrost cycle and room emissions. 20-tray blast chiller input. Remote unit shown; cooling output 12 kW is NOT heat emitted in room. Need rejection location, product load and duty. D/E remain unknown; use documented project inputs in Room worksheet I:M once resolved.</t>
  </si>
  <si>
    <t>20-tray blast chiller input. Remote unit shown; cooling output 12 kW is NOT heat emitted in room. Need rejection location, product load and duty.</t>
  </si>
  <si>
    <t>Sinofcold FT20.100WD — source below</t>
  </si>
  <si>
    <t>https://sinofcold.com/en/prodotti/ft20-100wd/</t>
  </si>
  <si>
    <t>Sinofcold FT20.100WD (reference, not installed-model confirmation)</t>
  </si>
  <si>
    <t>Actual blast-chiller variant, cooling/rejection locations, food throughput, door/defrost cycle and room emissions.</t>
  </si>
  <si>
    <t>Existing electrical reference for Blast chiller: 5000 W. 20-tray blast chiller input. Remote unit shown; cooling output 12 kW is NOT heat emitted in room. Need rejection location, product load and duty. This is not a measured sensible/latent room load. Only a closed energy balance can justify equating it to eventual total heat; external steam, refrigerant, fluid, work, storage and exhaust can change that result. REQUIRED: Actual blast-chiller variant, cooling/rejection locations, food throughput, door/defrost cycle and room emissions.</t>
  </si>
  <si>
    <t>Walk-in coolroom evaporator fan</t>
  </si>
  <si>
    <t>Match Heatcraft Climate Control CEL0060BS6AMAB0000. One cooler evaporator fan, rated operation. Published55 W motor input; one fan in this cooler. Conditional sensible gain to cold room when running. US208–230 V/60 Hz example; confirm Australian50 Hz variant. Cooling capacity is separate. Zero latent requires no uncaptured moisture. Match room allocation and duty; count once.</t>
  </si>
  <si>
    <t>One cooler evaporator fan, rated operation</t>
  </si>
  <si>
    <t>Published55 W motor input; one fan in this cooler. Conditional sensible gain to cold room when running. US208–230 V/60 Hz example; confirm Australian50 Hz variant. Cooling capacity is separate.</t>
  </si>
  <si>
    <t>Heatcraft Climate Control CEL0060BS6AMAB0000 — see source</t>
  </si>
  <si>
    <t>https://www.heatcraftrpd.com/products/c/CLIMATE-CONTROL.CEL0060BS6AMAB0000</t>
  </si>
  <si>
    <t>Heatcraft Climate Control CEL0060BS6AMAB0000</t>
  </si>
  <si>
    <t>Walk-in freezer evaporator fan</t>
  </si>
  <si>
    <t>Match Heatcraft Climate Control CEM0125DS4EPAB0000. One freezer evaporator fan, rated operation. Published305 W for one PSC motor. Fan-running sensible gain only;2730 W defrost heater separate. US460 V/60 Hz example, not a selected Australian unit. General marketing saysEC but model-specific table saysPSC; confirm variant. Zero latent requires no uncaptured moisture. Match room allocation and duty; count once.</t>
  </si>
  <si>
    <t>One freezer evaporator fan, rated operation</t>
  </si>
  <si>
    <t>Published305 W for one PSC motor. Fan-running sensible gain only;2730 W defrost heater separate. US460 V/60 Hz example, not a selected Australian unit. General marketing saysEC but model-specific table saysPSC; confirm variant.</t>
  </si>
  <si>
    <t>Heatcraft Climate Control CEM0125DS4EPAB0000 — see source</t>
  </si>
  <si>
    <t>https://www.heatcraftrpd.com/products/c/CLIMATE-CONTROL.CEM0125DS4EPAB0000</t>
  </si>
  <si>
    <t>Heatcraft Climate Control CEM0125DS4EPAB0000</t>
  </si>
  <si>
    <t>Commercial ice flaker</t>
  </si>
  <si>
    <t>NUMERIC EXAMPLE: 928.9 W (0.9289 kW); EXISTING REFERENCE — scope/state limits apply. TO COMPLETE: Ice production, air/water conditions, condenser location and water/ice/drain balance; distinguish gross rejection from net room load. 3170 BTU/h ×0.293071; manufacturer total heat rejection. D/E remain unknown; use documented project inputs in Room worksheet I:M once resolved.</t>
  </si>
  <si>
    <t>3170 BTU/h ×0.293071; manufacturer total heat rejection.</t>
  </si>
  <si>
    <t>Hoshizaki F-251 B air-cooled — manufacturer specification</t>
  </si>
  <si>
    <t>Hoshizaki F-251 B air-cooled (example; not installed-model confirmation)</t>
  </si>
  <si>
    <t>Ice production, air/water conditions, condenser location and water/ice/drain balance; distinguish gross rejection from net room load.</t>
  </si>
  <si>
    <t>32.2°C air / 21.1°C water; historical model 3170 BTU/h ×0.293071; manufacturer total heat rejection. This retains the original reference, including any unresolved source limitations; it is not newly validated net room heat. REQUIRED: Ice production, air/water conditions, condenser location and water/ice/drain balance; distinguish gross rejection from net room load.</t>
  </si>
  <si>
    <t>Dough mixer</t>
  </si>
  <si>
    <t>NUMERIC EXAMPLE: 550 W (0.55 kW); ELECTRICAL INPUT — not established room heat. TO COMPLETE: BE-10 mixing/idle duty and measured input; dough heating and product destination; room emissions including motor loss. Manufacturer model sheet: 550 W total electrical loading at 230 V/50–60 Hz, 3 kg flour capacity at 60% water. BE-10C differs (750 W). Motor losses, work warming dough, product removal and cycle duty determine room heat. Do not use 550 W as a measured continuous sensible gain. Manufacturer-authored document hosted by equipment supplier. D/E remain unknown; use documented project inputs in Room worksheet I:M once resolved.</t>
  </si>
  <si>
    <t>Manufacturer rated electrical loading; process heat unresolved</t>
  </si>
  <si>
    <t>Manufacturer model sheet: 550 W total electrical loading at 230 V/50–60 Hz, 3 kg flour capacity at 60% water. BE-10C differs (750 W). Motor losses, work warming dough, product removal and cycle duty determine room heat. Do not use 550 W as a measured continuous sensible gain. Manufacturer-authored document hosted by equipment supplier.</t>
  </si>
  <si>
    <t>Sammic BE-10, 10-litre planetary mixer with dough hook — see source</t>
  </si>
  <si>
    <t>https://cateringinventar.dk/?file-download=spec-sheet-food-mixer-be-10-230-50-60-1.pdf</t>
  </si>
  <si>
    <t>Sammic BE-10, 10-litre planetary mixer with dough hook</t>
  </si>
  <si>
    <t>Electrical specification only; checked 2026-10-16</t>
  </si>
  <si>
    <t>BE-10 mixing/idle duty and measured input; dough heating and product destination; room emissions including motor loss.</t>
  </si>
  <si>
    <t>Existing electrical reference for Dough mixer: 550 W. Manufacturer model sheet: 550 W total electrical loading at 230 V/50–60 Hz, 3 kg flour capacity at 60% water. BE-10C differs (750 W). Motor losses, work warming dough, product removal and cycle duty determine room heat. Do not use 550 W as a measured continuous sensible gain. Manufacturer-authored document hosted by equipment supplier. This is not a measured sensible/latent room load. Only a closed energy balance can justify equating it to eventual total heat; external steam, refrigerant, fluid, work, storage and exhaust can change that result. REQUIRED: BE-10 mixing/idle duty and measured input; dough heating and product destination; room emissions including motor loss.</t>
  </si>
  <si>
    <t>Commercial food slicer</t>
  </si>
  <si>
    <t>Match Tre Spade D-250 PRO slicer. Published consumption; intermittent use. Eventual sensible estimate if machine work and food heat remain indoors; apply actual operating duty. Zero latent requires no uncaptured moisture. Match room allocation and duty; count once.</t>
  </si>
  <si>
    <t>Published consumption; intermittent use</t>
  </si>
  <si>
    <t>Eventual sensible estimate if machine work and food heat remain indoors; apply actual operating duty.</t>
  </si>
  <si>
    <t>Tre Spade D-250 PRO slicer — see source</t>
  </si>
  <si>
    <t>https://trespade.com/en/products/d-250-professional-slicer</t>
  </si>
  <si>
    <t>Tre Spade D-250 PRO slicer</t>
  </si>
  <si>
    <t>Commercial coffee grinder</t>
  </si>
  <si>
    <t>Match Mahlkönig E65S GbW (reference, not installed-model confirmation). 220–240 V nominal operation; intermittent grinding. 440 W eventual heat only if motor work and heated grounds remain in room. Not hourly average; measure grinding duty. Zero latent requires no uncaptured moisture. Match room allocation and duty; count once.</t>
  </si>
  <si>
    <t>220–240 V nominal operation; intermittent grinding</t>
  </si>
  <si>
    <t>440 W eventual heat only if motor work and heated grounds remain in room. Not hourly average; measure grinding duty.</t>
  </si>
  <si>
    <t>Mahlkönig E65S GbW — source below</t>
  </si>
  <si>
    <t>https://www.mahlkoenig.com/products/e65s-gbw</t>
  </si>
  <si>
    <t>Mahlkönig E65S GbW (reference, not installed-model confirmation)</t>
  </si>
  <si>
    <t>Glasswasher</t>
  </si>
  <si>
    <t>Match MEIKO M-iClean UM glasswasher — 400 V, 50 Hz reference. Manufacturer heat emission at 20 programme runs/hour. Published total 2.1 kW = sensible 1.4 kW + latent 0.7 kW at 20 runs/h. 6.7 kW connected-load variant. Not Asber GE350DDUK. Account for local exhaust capture separately; do not add electrical input or hot drain-water energy again. Keep sensible and latent separate. Match room allocation and duty; count once.</t>
  </si>
  <si>
    <t>Manufacturer heat emission at 20 programme runs/hour</t>
  </si>
  <si>
    <t>Published total 2.1 kW = sensible 1.4 kW + latent 0.7 kW at 20 runs/h. 6.7 kW connected-load variant. Not Asber GE350DDUK. Account for local exhaust capture separately; do not add electrical input or hot drain-water energy again.</t>
  </si>
  <si>
    <t>MEIKO Professional warewashing solutions — M-iClean U technical table</t>
  </si>
  <si>
    <t>https://partnernet.meiko-global.com/download/2177/en</t>
  </si>
  <si>
    <t>MEIKO M-iClean UM glasswasher — 400 V, 50 Hz reference</t>
  </si>
  <si>
    <t>Commercial exhaust hood control system</t>
  </si>
  <si>
    <t>NUMERIC EXAMPLE: 15 W (0.015 kW); EXISTING REFERENCE — scope/state limits apply. TO COMPLETE: Complete installed controller/sensor/PSU/VFD inventory and location; hood capture. The verified 15 W is only the stated hood-controller assembly. Manufacturer source rechecked 19 Oct 2026: approximately 15 W for the hood controller with four temperature sensors, two air-purge units and one optic-sensor set. This is not the complete installation. D/E remain unknown; use documented project inputs in Room worksheet I:M once resolved.</t>
  </si>
  <si>
    <t>Fully loaded controller: 4 temperature sensors, 2 purge units, 1 optic-sensor set</t>
  </si>
  <si>
    <t>Manufacturer approximately 15 W for this controller-and-sensor assembly at 24 VDC. Approximate sensible gain only if heat from all listed parts stays in the room. Excludes system controller, AC/DC losses, VFDs and hood fan. Exhaust capture can reduce room contribution; not complete hood-system heat.</t>
  </si>
  <si>
    <t>Melink Intelli-Hood hood controller with specified attached sensors — source below</t>
  </si>
  <si>
    <t>https://melinkcorp.com/wp-content/uploads/2021/10/Melink-Intelli-Hood-Product_Spec.pdf</t>
  </si>
  <si>
    <t>Melink Intelli-Hood hood controller with specified attached sensors</t>
  </si>
  <si>
    <t>Complete installed controller/sensor/PSU/VFD inventory and location; hood capture. The verified 15 W is only the stated hood-controller assembly.</t>
  </si>
  <si>
    <t>Fully loaded controller: 4 temperature sensors, 2 purge units, 1 optic-sensor set Manufacturer approximately 15 W for this controller-and-sensor assembly at 24 VDC. Approximate sensible gain only if heat from all listed parts stays in the room. Excludes system controller, AC/DC losses, VFDs and hood fan. Exhaust capture can reduce room contribution; not complete hood-system heat. This retains the original reference, including any unresolved source limitations; it is not newly validated net room heat. REQUIRED: Complete installed controller/sensor/PSU/VFD inventory and location; hood capture. The verified 15 W is only the stated hood-controller assembly.</t>
  </si>
  <si>
    <t>Refrigerated preparation bench</t>
  </si>
  <si>
    <t>264 W sensible, 0 W latent during idle/ready conditions only. Confirm comparable integral refrigeration and same-room heat rejection. Not pull-down, loading, defrost or peak service. Do not also add condenser rejection or electrical input. Project applicability must be confirmed; not engineering-approved.</t>
  </si>
  <si>
    <t>Unhooded idle/ready; Table 5A</t>
  </si>
  <si>
    <t>Current D/E: Refrigerated preparation table; ASHRAE test example. Previous reference retained for traceability: ASHRAE 2017 example: Refrigerated prep table, rated 586 W (reference, not installed-model confirmation); Reference test example, not the installed appliance or a universal typical value. Preserve stated hood/state and confirm duty. Published total retained; rounded components may not sum exactly.</t>
  </si>
  <si>
    <t>ASHRAE 2017 Fundamentals, Ch.18, Table 5A</t>
  </si>
  <si>
    <t>Rated electrical 586 W; not room heat</t>
  </si>
  <si>
    <t>Refrigerated preparation table; ASHRAE test example</t>
  </si>
  <si>
    <t>Refrigerated display cabinet</t>
  </si>
  <si>
    <t>NUMERIC EXAMPLE: 1050 W (1.05 kW); EXISTING REFERENCE — scope/state limits apply. TO COMPLETE: Supplier confirmation of thermal-rejection basis and net room heat at actual ambient, cabinet temperature and loading. Manufacturer lists1050 W thermal rejection and1050 W electrical power. Rejection example; distinguish net room heat removed into cabinet. Confirm rating state with supplier before sizing; product/ambient conditions matter. D/E remain unknown; use documented project inputs in Room worksheet I:M once resolved.</t>
  </si>
  <si>
    <t>Published thermal heat rejection; integral condenser</t>
  </si>
  <si>
    <t>Manufacturer lists1050 W thermal rejection and1050 W electrical power. Rejection example; distinguish net room heat removed into cabinet. Confirm rating state with supplier before sizing; product/ambient conditions matter.</t>
  </si>
  <si>
    <t>Foster FMPRO900NG446 L Pro Multideck — see source</t>
  </si>
  <si>
    <t>https://www.fosterrefrigerator.com/en/multideck-display/pro/19-139</t>
  </si>
  <si>
    <t>Foster FMPRO900NG446 L Pro Multideck</t>
  </si>
  <si>
    <t>Supplier confirmation of thermal-rejection basis and net room heat at actual ambient, cabinet temperature and loading.</t>
  </si>
  <si>
    <t>Published thermal heat rejection; integral condenser Manufacturer lists1050 W thermal rejection and1050 W electrical power. Rejection example; distinguish net room heat removed into cabinet. Confirm rating state with supplier before sizing; product/ambient conditions matter. This retains the original reference, including any unresolved source limitations; it is not newly validated net room heat. REQUIRED: Supplier confirmation of thermal-rejection basis and net room heat at actual ambient, cabinet temperature and loading.</t>
  </si>
  <si>
    <t>Frozen dessert / ice cream machine</t>
  </si>
  <si>
    <t>USER-REQUESTED HYPOTHETICAL EXAMPLE: 2000 W (2 kW). Illustrative air-cooled dessert machine: assumed 1,000 W electrical input plus 1,000 W heat removed from externally supplied product =2,000 W rejection into room; same-room heat extraction assumed negligible. Assumed for illustration, not sourced or project-approved. Sensible/latent split unverified. TO COMPLETE: Exact machine and production rate; air/water condenser location; product cooling and moisture balance. Need machine/model, throughput, air/water condenser and product cooling load; compressor capacity is not heat rejected. Reference link is supporting method/product context only; no numeric room-heat value established. D/E remain unknown; use documented project inputs in Room worksheet I:M once resolved.</t>
  </si>
  <si>
    <t>Need machine/model, throughput, air/water condenser and product cooling load; compressor capacity is not heat rejected. Reference link is supporting method/product context only; no numeric room-heat value established.</t>
  </si>
  <si>
    <t>No installed model specified — Frozen dessert / ice cream machine — see source</t>
  </si>
  <si>
    <t>No installed model specified — Frozen dessert / ice cream machine</t>
  </si>
  <si>
    <t>Exact machine and production rate; air/water condenser location; product cooling and moisture balance.</t>
  </si>
  <si>
    <t>Illustrative air-cooled dessert machine: assumed 1,000 W electrical input plus 1,000 W heat removed from externally supplied product =2,000 W rejection into room; same-room heat extraction assumed negligible. REQUIRED: Exact machine and production rate; air/water condenser location; product cooling and moisture balance.</t>
  </si>
  <si>
    <t>Hospital bed — powered</t>
  </si>
  <si>
    <t>NUMERIC EXAMPLE: 0.5 W (0.0005 kW); EXISTING REFERENCE — scope/state limits apply. TO COMPLETE: Complete bed configuration including mattress pump and other options; standby/movement/charging schedule and local heat. Manufacturer approximate 0.5 W standby for CA30/CA40. Controller contribution only, not a complete occupied hospital-bed allowance. Excludes air-mattress pump, bed electronics, lighting, battery charging and actuators in motion. 120 W output rating is not standby heat. D/E remain unknown; use documented project inputs in Room worksheet I:M once resolved.</t>
  </si>
  <si>
    <t>Standby at 230 VAC; no bed movement or battery charging</t>
  </si>
  <si>
    <t>Manufacturer approximate 0.5 W standby for CA30/CA40. Controller contribution only, not a complete occupied hospital-bed allowance. Excludes air-mattress pump, bed electronics, lighting, battery charging and actuators in motion. 120 W output rating is not standby heat.</t>
  </si>
  <si>
    <t>LINAK CA40 medical-bed actuator control box only — source below</t>
  </si>
  <si>
    <t>https://cdn.linak.com/-/media/files/data-sheet-source/en/control-box-ca30-ca40-data-sheet-eng.pdf</t>
  </si>
  <si>
    <t>LINAK CA40 medical-bed actuator control box only</t>
  </si>
  <si>
    <t>Complete bed configuration including mattress pump and other options; standby/movement/charging schedule and local heat.</t>
  </si>
  <si>
    <t>Standby at 230 VAC; no bed movement or battery charging Manufacturer approximate 0.5 W standby for CA30/CA40. Controller contribution only, not a complete occupied hospital-bed allowance. Excludes air-mattress pump, bed electronics, lighting, battery charging and actuators in motion. 120 W output rating is not standby heat. This retains the original reference, including any unresolved source limitations; it is not newly validated net room heat. REQUIRED: Complete bed configuration including mattress pump and other options; standby/movement/charging schedule and local heat.</t>
  </si>
  <si>
    <t>Electric patient hoist — charging station</t>
  </si>
  <si>
    <t>Match LINAK CHJ2 JUMBO patient-lift battery charger. Standby maximum only; no active charging. Manual p49 specifies maximum standby input 2.5 W and charging input 19 W. Use 2.5 W as a standby heat upper bound only. Active charging losses and battery heat are additional and unresolved; 19 W input is not all immediate heat. DO NOT use for active-operation hours. Zero latent requires no uncaptured moisture. Match room allocation and duty; count once.</t>
  </si>
  <si>
    <t>Standby maximum only; no active charging</t>
  </si>
  <si>
    <t>Manual p49 specifies maximum standby input 2.5 W and charging input 19 W. Use 2.5 W as a standby heat upper bound only. Active charging losses and battery heat are additional and unresolved; 19 W input is not all immediate heat.</t>
  </si>
  <si>
    <t>LINAK CHJ2 JUMBO patient-lift battery charger — source below</t>
  </si>
  <si>
    <t>https://www.linak.cn/-/media/files/user-manual-source/en/medline-careline-jumbo-user-manual-eng.pdf</t>
  </si>
  <si>
    <t>LINAK CHJ2 JUMBO patient-lift battery charger</t>
  </si>
  <si>
    <t>Infusion pump charging station</t>
  </si>
  <si>
    <t>USER-REQUESTED HYPOTHETICAL EXAMPLE: 20 W (0.02 kW). Illustrative five-pump dock: assumed 4 W local loss per occupied slot ×5 =20 W; battery stored energy excluded; not a measured infusion-system specification. Assumed for illustration, not sourced or project-approved. Sensible/latent split unverified. TO COMPLETE: Dock/pump models, slot count and charging states; AC/DC losses and battery heat; concurrent operation. Need station slot count, pump states, AC input/DC output and battery charge duty; do not multiply supply capacity by slots. Reference link is supporting method/product context only; no numeric room-heat value established. D/E remain unknown; use documented project inputs in Room worksheet I:M once resolved.</t>
  </si>
  <si>
    <t>Need station slot count, pump states, AC input/DC output and battery charge duty; do not multiply supply capacity by slots. Reference link is supporting method/product context only; no numeric room-heat value established.</t>
  </si>
  <si>
    <t>No installed model specified — Infusion pump charging station — see source</t>
  </si>
  <si>
    <t>No installed model specified — Infusion pump charging station</t>
  </si>
  <si>
    <t>Dock/pump models, slot count and charging states; AC/DC losses and battery heat; concurrent operation.</t>
  </si>
  <si>
    <t>Illustrative five-pump dock: assumed 4 W local loss per occupied slot ×5 =20 W; battery stored energy excluded; not a measured infusion-system specification. REQUIRED: Dock/pump models, slot count and charging states; AC/DC losses and battery heat; concurrent operation.</t>
  </si>
  <si>
    <t>Medical ventilator</t>
  </si>
  <si>
    <t>NUMERIC EXAMPLE: 15.2 W (0.0152 kW); ELECTRICAL INPUT — not established room heat. TO COMPLETE: Ventilator model/state, real input and battery charging; gas/patient energy paths and local supply losses. Battery charging and AC supply losses separate; gas/patient heat boundary not quantified. D/E remain unknown; use documented project inputs in Room worksheet I:M once resolved.</t>
  </si>
  <si>
    <t>Typical ventilation upper DC input: 19 V × 0.8 A</t>
  </si>
  <si>
    <t>Battery charging and AC supply losses separate; gas/patient heat boundary not quantified.</t>
  </si>
  <si>
    <t>Dräger Oxylog VE300 — source below</t>
  </si>
  <si>
    <t>https://www.draeger.com/Content/Documents/Content/ifu-oxylog-ve300-ifu-9054926-en.pdf</t>
  </si>
  <si>
    <t>Dräger Oxylog VE300 (reference, not installed-model confirmation)</t>
  </si>
  <si>
    <t>Ventilator model/state, real input and battery charging; gas/patient energy paths and local supply losses.</t>
  </si>
  <si>
    <t>Existing electrical reference for Medical ventilator: 15.2 W. Battery charging and AC supply losses separate; gas/patient heat boundary not quantified. This is not a measured sensible/latent room load. Only a closed energy balance can justify equating it to eventual total heat; external steam, refrigerant, fluid, work, storage and exhaust can change that result. REQUIRED: Ventilator model/state, real input and battery charging; gas/patient energy paths and local supply losses.</t>
  </si>
  <si>
    <t>Anaesthesia workstation</t>
  </si>
  <si>
    <t>BLOCKED — process allocation</t>
  </si>
  <si>
    <t>NUMERIC EXAMPLE: 166 W (0.166 kW); EXISTING REFERENCE — scope/state limits apply. TO COMPLETE: Actual anaesthesia workstation and use state; gas/scavenging boundary and manufacturer sensible/latent emissions. Existing historical reference 166 W remains in G; it is not a verified sensible/latent split or confirmation of the installed model. D/E remain unknown; use documented project inputs in Room worksheet I:M once resolved.</t>
  </si>
  <si>
    <t>ASHRAE measured example: Anaesthesia system; 250 W nameplate — source below</t>
  </si>
  <si>
    <t>ASHRAE measured example: Anaesthesia system; 250 W nameplate (reference, not installed-model confirmation)</t>
  </si>
  <si>
    <t>Actual anaesthesia workstation and use state; gas/scavenging boundary and manufacturer sensible/latent emissions.</t>
  </si>
  <si>
    <t>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Actual anaesthesia workstation and use state; gas/scavenging boundary and manufacturer sensible/latent emissions.</t>
  </si>
  <si>
    <t>Electrosurgical unit</t>
  </si>
  <si>
    <t>NUMERIC EXAMPLE: 109 W (0.109 kW); EXISTING REFERENCE — scope/state limits apply. TO COMPLETE: Electrosurgical model, output setting and exposure duty; generator losses, patient energy and smoke extraction. Existing historical reference 109 W remains in G; it is not a verified sensible/latent split or confirmation of the installed model. D/E remain unknown; use documented project inputs in Room worksheet I:M once resolved.</t>
  </si>
  <si>
    <t>ASHRAE measured example: Electrosurgery unit — source below</t>
  </si>
  <si>
    <t>ASHRAE measured example: Electrosurgery unit (reference, not installed-model confirmation)</t>
  </si>
  <si>
    <t>Electrosurgical model, output setting and exposure duty; generator losses, patient energy and smoke extraction.</t>
  </si>
  <si>
    <t>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Electrosurgical model, output setting and exposure duty; generator losses, patient energy and smoke extraction.</t>
  </si>
  <si>
    <t>Endoscopy processor</t>
  </si>
  <si>
    <t>USER-REQUESTED HYPOTHETICAL EXAMPLE: 100 W (0.1 kW). Illustrative endoscopy processor only: assumed measured real input of 100 W, all dissipating locally; separate light source/display excluded. Does not convert the existing VA figure to W. Assumed for illustration, not sourced or project-approved. Sensible/latent split unverified. TO COMPLETE: Real watts or thermal emissions for processor, light source and monitor; VA is not sufficient. VA cannot be entered as W. Obtain real input/thermal specification; light source and display separate. D/E remain unknown; use documented project inputs in Room worksheet I:M once resolved.</t>
  </si>
  <si>
    <t>Published requirement 150 VA</t>
  </si>
  <si>
    <t>VA cannot be entered as W. Obtain real input/thermal specification; light source and display separate.</t>
  </si>
  <si>
    <t>Olympus CV-190 — source below</t>
  </si>
  <si>
    <t>https://mdc.olympus.eu/asset/084438885177/f22b7caec745618a9865dae1ac36c0a2?content-disposition=inline</t>
  </si>
  <si>
    <t>Reviewed — additional data required</t>
  </si>
  <si>
    <t>Olympus CV-190 (reference, not installed-model confirmation)</t>
  </si>
  <si>
    <t>Source reviewed; insufficient heat data; checked 2026-10-14</t>
  </si>
  <si>
    <t>Real watts or thermal emissions for processor, light source and monitor; VA is not sufficient.</t>
  </si>
  <si>
    <t>Illustrative endoscopy processor only: assumed measured real input of 100 W, all dissipating locally; separate light source/display excluded. Does not convert the existing VA figure to W. REQUIRED: Real watts or thermal emissions for processor, light source and monitor; VA is not sufficient.</t>
  </si>
  <si>
    <t>Operating-room surgical light</t>
  </si>
  <si>
    <t>Match Brandon Medical Astramax AM30CJ single surgical lamp. Upper reference bound at full light output (&lt;50 W published). Manufacturer specifies under 50 W at full power, 100–240 VAC/50–60 Hz. 50 W is a rounded upper reference, not measured typical consumption. Eventual sensible gain assumes light and associated power losses remain in this room. Emergency battery charging and additional heads/monitors require separate accounting; do not add to an existing lighting allowance twice. Zero latent requires no uncaptured moisture. Match room allocation and duty; count once.</t>
  </si>
  <si>
    <t>Upper reference bound at full light output (&lt;50 W published)</t>
  </si>
  <si>
    <t>Manufacturer specifies under 50 W at full power, 100–240 VAC/50–60 Hz. 50 W is a rounded upper reference, not measured typical consumption. Eventual sensible gain assumes light and associated power losses remain in this room. Emergency battery charging and additional heads/monitors require separate accounting; do not add to an existing lighting allowance twice.</t>
  </si>
  <si>
    <t>Brandon Medical Astramax AM30CJ single surgical lamp — see source</t>
  </si>
  <si>
    <t>https://www.brandon-medical.com/content/uploads/Astramax-B1-01-H001-14feb25-web.pdf</t>
  </si>
  <si>
    <t>Brandon Medical Astramax AM30CJ single surgical lamp</t>
  </si>
  <si>
    <t>Conditional heat bound; checked 2026-10-16</t>
  </si>
  <si>
    <t>Operating-room equipment boom — powered</t>
  </si>
  <si>
    <t>USER-REQUESTED HYPOTHETICAL EXAMPLE: 20 W (0.02 kW). Illustrative boom controls/drive: assumed 20 W hourly average local dissipation; socket-fed medical devices excluded, motion duty unverified. Assumed for illustration, not sourced or project-approved. Sensible/latent split unverified. TO COMPLETE: Powered-boom motor/control models and movement duty; attached equipment individually scheduled and counted once. Need actual boom motors/controllers and movement duty. Socket-fed attached equipment must be counted individually. Reference link is supporting method/product context only; no numeric room-heat value established. D/E remain unknown; use documented project inputs in Room worksheet I:M once resolved.</t>
  </si>
  <si>
    <t>Need actual boom motors/controllers and movement duty. Socket-fed attached equipment must be counted individually. Reference link is supporting method/product context only; no numeric room-heat value established.</t>
  </si>
  <si>
    <t>No installed model specified — Operating-room equipment boom — powered — see source</t>
  </si>
  <si>
    <t>No installed model specified — Operating-room equipment boom — powered</t>
  </si>
  <si>
    <t>Powered-boom motor/control models and movement duty; attached equipment individually scheduled and counted once.</t>
  </si>
  <si>
    <t>Illustrative boom controls/drive: assumed 20 W hourly average local dissipation; socket-fed medical devices excluded, motion duty unverified. REQUIRED: Powered-boom motor/control models and movement duty; attached equipment individually scheduled and counted once.</t>
  </si>
  <si>
    <t>Patient warming system</t>
  </si>
  <si>
    <t>NUMERIC EXAMPLE: 470 W (0.47 kW); EXISTING REFERENCE — scope/state limits apply. TO COMPLETE: Warming-system mode, patient/blanket heat storage and room energy balance; do not add delivered heat to electrical input. Model 775 manual specifies 470 W high-fan average and 390 W low-fan average, separately from 800 W average electrical input (1550 W peak). This is delivered warming heat, not a proven whole-room cooling gain. Patient/blanket heat storage and other unit losses require a room energy balance; do not add electrical input and delivered heat. D/E remain unknown; use documented project inputs in Room worksheet I:M once resolved.</t>
  </si>
  <si>
    <t>Manufacturer average heat generated, high fan setting</t>
  </si>
  <si>
    <t>Model 775 manual specifies 470 W high-fan average and 390 W low-fan average, separately from 800 W average electrical input (1550 W peak). This is delivered warming heat, not a proven whole-room cooling gain. Patient/blanket heat storage and other unit losses require a room energy balance; do not add electrical input and delivered heat.</t>
  </si>
  <si>
    <t>3M/Arizant Bair Hugger 775 service manual 202526A, printed pp.27–28; hosted by Solventum</t>
  </si>
  <si>
    <t>https://assets.solventum.com/is/content/mmmspinco/Bair-Hugger-Therapy-775-Service-Manual-Englishpdf</t>
  </si>
  <si>
    <t>Sourced thermal output — room allocation unresolved</t>
  </si>
  <si>
    <t>Bair Hugger 775 — high fan; thermal output reference only</t>
  </si>
  <si>
    <t>High fan, manufacturer average delivered heat; room allocation unresolved</t>
  </si>
  <si>
    <t>Warming-system mode, patient/blanket heat storage and room energy balance; do not add delivered heat to electrical input.</t>
  </si>
  <si>
    <t>Manufacturer average heat generated, high fan setting Model 775 manual specifies 470 W high-fan average and 390 W low-fan average, separately from 800 W average electrical input (1550 W peak). This is delivered warming heat, not a proven whole-room cooling gain. Patient/blanket heat storage and other unit losses require a room energy balance; do not add electrical input and delivered heat. This retains the original reference, including any unresolved source limitations; it is not newly validated net room heat. REQUIRED: Warming-system mode, patient/blanket heat storage and room energy balance; do not add delivered heat to electrical input.</t>
  </si>
  <si>
    <t>Medical blanket warmer</t>
  </si>
  <si>
    <t>NUMERIC EXAMPLE: 221 W (0.221 kW); EXISTING REFERENCE — scope/state limits apply. TO COMPLETE: Blanket-warmer model, setpoint, loading and door schedule; cabinet room emissions and heat exported in blankets. Existing historical reference 221 W remains in G; it is not a verified sensible/latent split or confirmation of the installed model. D/E remain unknown; use documented project inputs in Room worksheet I:M once resolved.</t>
  </si>
  <si>
    <t>ASHRAE measured example: Blanket warmer; 500 W nameplate — source below</t>
  </si>
  <si>
    <t>ASHRAE measured example: Blanket warmer; 500 W nameplate (reference, not installed-model confirmation)</t>
  </si>
  <si>
    <t>Blanket-warmer model, setpoint, loading and door schedule; cabinet room emissions and heat exported in blankets.</t>
  </si>
  <si>
    <t>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Blanket-warmer model, setpoint, loading and door schedule; cabinet room emissions and heat exported in blankets.</t>
  </si>
  <si>
    <t>Medical fluid warmer</t>
  </si>
  <si>
    <t>NUMERIC EXAMPLE: 114 W (0.114 kW); EXISTING REFERENCE — scope/state limits apply. TO COMPLETE: Fluid-warmer real input and throughput; fluid inlet/outlet temperatures and patient destination; casing heat to room. Existing historical reference 114 W remains in G; it is not a verified sensible/latent split or confirmation of the installed model. D/E remain unknown; use documented project inputs in Room worksheet I:M once resolved.</t>
  </si>
  <si>
    <t>ASHRAE measured example: Blood warmer; 360 W nameplate — source below</t>
  </si>
  <si>
    <t>ASHRAE measured example: Blood warmer; 360 W nameplate (reference, not installed-model confirmation)</t>
  </si>
  <si>
    <t>Fluid-warmer real input and throughput; fluid inlet/outlet temperatures and patient destination; casing heat to room.</t>
  </si>
  <si>
    <t>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Fluid-warmer real input and throughput; fluid inlet/outlet temperatures and patient destination; casing heat to room.</t>
  </si>
  <si>
    <t>Laboratory blood analyser</t>
  </si>
  <si>
    <t>Match BD FACSLyric cytometer with Loader — blood-cell analysis example. Published running heat-emission upper bound, cytometer + Loader only. IFU printed p241: running cytometer/Loader emits less than 498 BTU/h; 498 × 0.293071 = 145.95 W upper reference. Excludes workstation and monitor; their 500 W/200 W power specifications are separate, not measured typical heat. Older brochure lists 488 BTU/h, so use this IFU's 498 bound only for the cited configuration. This is a flow cytometer example, not a universal chemistry/haematology analyser value. Zero latent requires no uncaptured moisture. Match room allocation and duty; count once.</t>
  </si>
  <si>
    <t>Published running heat-emission upper bound, cytometer + Loader only</t>
  </si>
  <si>
    <t>IFU printed p241: running cytometer/Loader emits less than 498 BTU/h; 498 × 0.293071 = 145.95 W upper reference. Excludes workstation and monitor; their 500 W/200 W power specifications are separate, not measured typical heat. Older brochure lists 488 BTU/h, so use this IFU's 498 bound only for the cited configuration. This is a flow cytometer example, not a universal chemistry/haematology analyser value.</t>
  </si>
  <si>
    <t>BD FACSLyric cytometer with Loader — blood-cell analysis example — see source</t>
  </si>
  <si>
    <t>https://www.bdbiosciences.com/content/dam/bdb/marketing-documents/products-pdf-folder/instruments/clinical-cell-analyzers/bd-facslyric-instruct-for-use-emea.pdf</t>
  </si>
  <si>
    <t>BD FACSLyric cytometer with Loader — blood-cell analysis example</t>
  </si>
  <si>
    <t>Published heat bound; checked 2026-10-16</t>
  </si>
  <si>
    <t>Haematology analyser</t>
  </si>
  <si>
    <t>NUMERIC EXAMPLE: 600 W (0.6 kW); EXISTING REFERENCE — scope/state limits apply. TO COMPLETE: Installed SF-3000 system boundary, included peripherals and operating state; confirm archived 600 W heat applies to this configuration. Manufacturer-authored operator manual, revised March 2001, system specifications p1-24: approximately 2047 BTU/h = 600 W (rounded). Archived manufacturer document hosted by iFixit; not current Mindray BC-20s data. Confirm whether peripherals/PC and pneumatic unit are included in the installed system boundary. D/E remain unknown; use documented project inputs in Room worksheet I:M once resolved.</t>
  </si>
  <si>
    <t>Manufacturer heat-compensation requirement</t>
  </si>
  <si>
    <t>Manufacturer-authored operator manual, revised March 2001, system specifications p1-24: approximately 2047 BTU/h = 600 W (rounded). Archived manufacturer document hosted by iFixit; not current Mindray BC-20s data. Confirm whether peripherals/PC and pneumatic unit are included in the installed system boundary.</t>
  </si>
  <si>
    <t>Sysmex SF-3000 automated haematology analyser (historical reference) — source below</t>
  </si>
  <si>
    <t>https://documents.cdn.ifixit.com/pXKMHcYVkKBT1HTj.pdf</t>
  </si>
  <si>
    <t>Not specified in W</t>
  </si>
  <si>
    <t>Sysmex SF-3000 automated haematology analyser (historical reference)</t>
  </si>
  <si>
    <t>Installed SF-3000 system boundary, included peripherals and operating state; confirm archived 600 W heat applies to this configuration.</t>
  </si>
  <si>
    <t>Manufacturer heat-compensation requirement Manufacturer-authored operator manual, revised March 2001, system specifications p1-24: approximately 2047 BTU/h = 600 W (rounded). Archived manufacturer document hosted by iFixit; not current Mindray BC-20s data. Confirm whether peripherals/PC and pneumatic unit are included in the installed system boundary. This retains the original reference, including any unresolved source limitations; it is not newly validated net room heat. REQUIRED: Installed SF-3000 system boundary, included peripherals and operating state; confirm archived 600 W heat applies to this configuration.</t>
  </si>
  <si>
    <t>Blood bank refrigerator</t>
  </si>
  <si>
    <t>NUMERIC EXAMPLE: 134.81 W (0.13481 kW); EXISTING REFERENCE — scope/state limits apply. TO COMPLETE: Installed blood-fridge model and state; manufacturer gross-versus-net heat boundary, ambient/loading and moisture. 460 BTU/h × 0.293071. 150 L model; source heat rejection may exceed net space gain from same-room heat extraction. D/E remain unknown; use documented project inputs in Room worksheet I:M once resolved.</t>
  </si>
  <si>
    <t>Normal conditions; 24.8°C ambient, 4°C cabinet</t>
  </si>
  <si>
    <t>460 BTU/h × 0.293071. 150 L model; source heat rejection may exceed net space gain from same-room heat extraction.</t>
  </si>
  <si>
    <t>Helmer HBR105-GX blood bank refrigerator — source below</t>
  </si>
  <si>
    <t>https://www.helmerinc.com/sites/default/files/2019-04/hbr105-gx-technical-data-sheet-380417-1.pdf</t>
  </si>
  <si>
    <t>Helmer HBR105-GX blood bank refrigerator (reference, not installed-model confirmation)</t>
  </si>
  <si>
    <t>Installed blood-fridge model and state; manufacturer gross-versus-net heat boundary, ambient/loading and moisture.</t>
  </si>
  <si>
    <t>Normal conditions; 24.8°C ambient, 4°C cabinet 460 BTU/h × 0.293071. 150 L model; source heat rejection may exceed net space gain from same-room heat extraction. This retains the original reference, including any unresolved source limitations; it is not newly validated net room heat. REQUIRED: Installed blood-fridge model and state; manufacturer gross-versus-net heat boundary, ambient/loading and moisture.</t>
  </si>
  <si>
    <t>Specimen refrigerator</t>
  </si>
  <si>
    <t>NUMERIC EXAMPLE: 134.81 W (0.13481 kW); EXISTING REFERENCE — scope/state limits apply. TO COMPLETE: Installed specimen-fridge model and state; gross-versus-net heat boundary, ambient/loading and moisture. Reference normal-operation test at 24.8°C ambient /4°C setpoint. 150 L medical/scientific storage example. Published rejection is not automatically net room load; account for heat removed from same room. D/E remain unknown; use documented project inputs in Room worksheet I:M once resolved.</t>
  </si>
  <si>
    <t>Published heat rejection/emission 460 BTU/h /3.41214</t>
  </si>
  <si>
    <t>Reference normal-operation test at 24.8°C ambient /4°C setpoint. 150 L medical/scientific storage example. Published rejection is not automatically net room load; account for heat removed from same room.</t>
  </si>
  <si>
    <t>Helmer HPR105-GX — see source</t>
  </si>
  <si>
    <t>https://www.helmerinc.com/sites/default/files/2020-10/HPR105-GX-Technical-Data-Sheet-380413-1.pdf</t>
  </si>
  <si>
    <t>Helmer HPR105-GX</t>
  </si>
  <si>
    <t>Installed specimen-fridge model and state; gross-versus-net heat boundary, ambient/loading and moisture.</t>
  </si>
  <si>
    <t>Published heat rejection/emission 460 BTU/h /3.41214 Reference normal-operation test at 24.8°C ambient /4°C setpoint. 150 L medical/scientific storage example. Published rejection is not automatically net room load; account for heat removed from same room. This retains the original reference, including any unresolved source limitations; it is not newly validated net room heat. REQUIRED: Installed specimen-fridge model and state; gross-versus-net heat boundary, ambient/loading and moisture.</t>
  </si>
  <si>
    <t>Tissue processor</t>
  </si>
  <si>
    <t>NUMERIC EXAMPLE: 250 W (0.25 kW); EXISTING REFERENCE — scope/state limits apply. TO COMPLETE: SLEE MTP configuration and cycle; manufacturer sensible/latent split and exhaust allocation for the 250 W maximum emission. SLEE MTP11000200:250J/s=250W. Supply350VA is not watts. Manufacturer specifies approx200m³/h exhaust; room allocation and sensible/latent split unresolved. Previous Leica PELORIS3 electrical rating2150W is for a different model and is not a room heat value. D/E remain unknown; use documented project inputs in Room worksheet I:M once resolved.</t>
  </si>
  <si>
    <t>Maximum heat emission — reference only</t>
  </si>
  <si>
    <t>SLEE MTP11000200:250J/s=250W. Supply350VA is not watts. Manufacturer specifies approx200m³/h exhaust; room allocation and sensible/latent split unresolved. Previous Leica PELORIS3 electrical rating2150W is for a different model and is not a room heat value.</t>
  </si>
  <si>
    <t>SLEE MTP product specification2025-04-013.00, pp1–2</t>
  </si>
  <si>
    <t>https://www.slee.de/en/wp-content/uploads/sites/2/2025/04/Product_Specs_MTP_2025-04-013.00_EN.pdf</t>
  </si>
  <si>
    <t>Sourced total heat — room allocation/split unresolved</t>
  </si>
  <si>
    <t>Unresolved</t>
  </si>
  <si>
    <t>SLEE MTP11000200 (alternative model; not installed confirmation)</t>
  </si>
  <si>
    <t>Maximum heat emission; split unreported</t>
  </si>
  <si>
    <t>Checked18 Oct2026; reference only, not released as calculation input</t>
  </si>
  <si>
    <t>SLEE MTP configuration and cycle; manufacturer sensible/latent split and exhaust allocation for the 250 W maximum emission.</t>
  </si>
  <si>
    <t>Maximum heat emission — reference only SLEE MTP11000200:250J/s=250W. Supply350VA is not watts. Manufacturer specifies approx200m³/h exhaust; room allocation and sensible/latent split unresolved. Previous Leica PELORIS3 electrical rating2150W is for a different model and is not a room heat value. This retains the original reference, including any unresolved source limitations; it is not newly validated net room heat. REQUIRED: SLEE MTP configuration and cycle; manufacturer sensible/latent split and exhaust allocation for the 250 W maximum emission.</t>
  </si>
  <si>
    <t>Histology embedding station</t>
  </si>
  <si>
    <t>Match Slee MPS P I compact paraffin embedding centre. Manufacturer maximum heat emission, not typical average. 650 J/s = 650 W maximum heat emission in manufacturer product specification (2025-08). Compact MPS P I example; not the Leica Arcadia H. Confirm supplied modules and operating duty; do not add a separate embedding-station allowance for the same unit. Zero latent requires no uncaptured moisture. Match room allocation and duty; count once.</t>
  </si>
  <si>
    <t>Manufacturer maximum heat emission, not typical average</t>
  </si>
  <si>
    <t>650 J/s = 650 W maximum heat emission in manufacturer product specification (2025-08). Compact MPS P I example; not the Leica Arcadia H. Confirm supplied modules and operating duty; do not add a separate embedding-station allowance for the same unit.</t>
  </si>
  <si>
    <t>Slee MPS P I compact paraffin embedding centre — source below</t>
  </si>
  <si>
    <t>https://www.slee.de/es/wp-content/uploads/sites/3/2025/08/Product_Specs_MPS_P_I_2025-08-011.00_EN.pdf</t>
  </si>
  <si>
    <t>Slee MPS P I compact paraffin embedding centre</t>
  </si>
  <si>
    <t>Medical-grade ice machine</t>
  </si>
  <si>
    <t>NUMERIC EXAMPLE: 498 W (0.498 kW); EXISTING REFERENCE — scope/state limits apply. TO COMPLETE: Actual ice-machine model and suitability; condenser location, duty and water/ice energy balance; sensible/latent room emissions. Reference changed from Brema G1000 to a smaller Follett E7CI100A air-cooled ice/water dispenser, 230 V/50 Hz. Clinical suitability is not established by this heat reference. Use only with condenser releasing indoors; duty and net room balance need review. Do not add electrical input to condenser heat. D/E remain unknown; use documented project inputs in Room worksheet I:M once resolved.</t>
  </si>
  <si>
    <t>Manufacturer heat-rejection reference: 498 W (1700 Btu/h)</t>
  </si>
  <si>
    <t>Reference changed from Brema G1000 to a smaller Follett E7CI100A air-cooled ice/water dispenser, 230 V/50 Hz. Clinical suitability is not established by this heat reference. Use only with condenser releasing indoors; duty and net room balance need review. Do not add electrical input to condenser heat.</t>
  </si>
  <si>
    <t>Follett manual 00976738R09, dispenser and ice machine, printed p.5 Heat Rejection</t>
  </si>
  <si>
    <t>https://www.follettice.com/file/13011/download?token=ALUuinLr</t>
  </si>
  <si>
    <t>Follett E7CI100A air-cooled ice/water dispenser; reference, not clinical approval</t>
  </si>
  <si>
    <t>Manufacturer heat-rejection specification; no universal duty assumed</t>
  </si>
  <si>
    <t>Actual ice-machine model and suitability; condenser location, duty and water/ice energy balance; sensible/latent room emissions.</t>
  </si>
  <si>
    <t>Manufacturer heat-rejection reference: 498 W (1700 Btu/h) Reference changed from Brema G1000 to a smaller Follett E7CI100A air-cooled ice/water dispenser, 230 V/50 Hz. Clinical suitability is not established by this heat reference. Use only with condenser releasing indoors; duty and net room balance need review. Do not add electrical input to condenser heat. This retains the original reference, including any unresolved source limitations; it is not newly validated net room heat. REQUIRED: Actual ice-machine model and suitability; condenser location, duty and water/ice energy balance; sensible/latent room emissions.</t>
  </si>
  <si>
    <t>Dental curing light</t>
  </si>
  <si>
    <t>NUMERIC EXAMPLE: 5 W (0.005 kW); ELECTRICAL INPUT — not established room heat. TO COMPLETE: Complete curing light and driver real input, exposure duty and charging losses; optical heat destination. 5 W LED specification only; complete system input/driver loss and brief exposure duty not established. D/E remain unknown; use documented project inputs in Room worksheet I:M once resolved.</t>
  </si>
  <si>
    <t>5 W LED specification only; complete system input/driver loss and brief exposure duty not established.</t>
  </si>
  <si>
    <t>TPC LED 55BN / ALED55-BN curing light — source below</t>
  </si>
  <si>
    <t>https://tpcdental.com/downloads/2026_TPC_Catalog%20copy_No_Pricing.pdf</t>
  </si>
  <si>
    <t>TPC LED 55BN / ALED55-BN curing light (reference, not installed-model confirmation)</t>
  </si>
  <si>
    <t>Complete curing light and driver real input, exposure duty and charging losses; optical heat destination.</t>
  </si>
  <si>
    <t>Existing electrical reference for Dental curing light: 5 W. 5 W LED specification only; complete system input/driver loss and brief exposure duty not established. This is not a measured sensible/latent room load. Only a closed energy balance can justify equating it to eventual total heat; external steam, refrigerant, fluid, work, storage and exhaust can change that result. REQUIRED: Complete curing light and driver real input, exposure duty and charging losses; optical heat destination.</t>
  </si>
  <si>
    <t>Dental X-ray unit</t>
  </si>
  <si>
    <t>NUMERIC EXAMPLE: 240 W (0.24 kW); ELECTRICAL INPUT — not established room heat. TO COMPLETE: Exposure energy and exposures/hour; battery/charger losses and charging schedule; heat location. Maximum battery-powered exposure input; exposures 0.05–1.35 seconds. Not sustained room heat or charging loss. D/E remain unknown; use documented project inputs in Room worksheet I:M once resolved.</t>
  </si>
  <si>
    <t>Maximum battery-powered exposure input; exposures 0.05–1.35 seconds. Not sustained room heat or charging loss.</t>
  </si>
  <si>
    <t>Safari Dental SAF-3000 — source below</t>
  </si>
  <si>
    <t>https://www.safaridental.com/wp-content/uploads/2024/04/SAF-3000-Manuel-Instruction-EN.pdf</t>
  </si>
  <si>
    <t>Safari Dental SAF-3000 (reference, not installed-model confirmation)</t>
  </si>
  <si>
    <t>Exposure energy and exposures/hour; battery/charger losses and charging schedule; heat location.</t>
  </si>
  <si>
    <t>Existing electrical reference for Dental X-ray unit: 240 W. Maximum battery-powered exposure input; exposures 0.05–1.35 seconds. Not sustained room heat or charging loss. This is not a measured sensible/latent room load. Only a closed energy balance can justify equating it to eventual total heat; external steam, refrigerant, fluid, work, storage and exhaust can change that result. REQUIRED: Exposure energy and exposures/hour; battery/charger losses and charging schedule; heat location.</t>
  </si>
  <si>
    <t>Dental milling machine</t>
  </si>
  <si>
    <t>NUMERIC EXAMPLE: 250 W (0.25 kW); ELECTRICAL INPUT — not established room heat. TO COMPLETE: Milling workload and real input; compressed-air/extraction arrangement; material heat exported; local ancillary losses. Compressed air and extraction separate; machine electrical input alone does not establish local room heat. D/E remain unknown; use documented project inputs in Room worksheet I:M once resolved.</t>
  </si>
  <si>
    <t>Approximate published machine input</t>
  </si>
  <si>
    <t>Compressed air and extraction separate; machine electrical input alone does not establish local room heat.</t>
  </si>
  <si>
    <t>DGSHAPE DWX-53DC — see source</t>
  </si>
  <si>
    <t>https://dgshape.com/dwx-53dc/</t>
  </si>
  <si>
    <t>DGSHAPE DWX-53DC</t>
  </si>
  <si>
    <t>Milling workload and real input; compressed-air/extraction arrangement; material heat exported; local ancillary losses.</t>
  </si>
  <si>
    <t>Existing electrical reference for Dental milling machine: 250 W. Compressed air and extraction separate; machine electrical input alone does not establish local room heat. This is not a measured sensible/latent room load. Only a closed energy balance can justify equating it to eventual total heat; external steam, refrigerant, fluid, work, storage and exhaust can change that result. REQUIRED: Milling workload and real input; compressed-air/extraction arrangement; material heat exported; local ancillary losses.</t>
  </si>
  <si>
    <t>Aged care</t>
  </si>
  <si>
    <t>Electric recliner chair</t>
  </si>
  <si>
    <t>NUMERIC EXAMPLE: 0.1 W (0.0001 kW); EXISTING REFERENCE — scope/state limits apply. TO COMPLETE: Whole recliner standby and moving heat including downstream controls and options; supply-only standby is incomplete. Datasheet specifies 0.1 W standby consumption, approximated as local heat. Covers power supply only; not an entire recliner during movement, heating, massage or battery charging. Downstream standby loads and optional equipment must be added. D/E remain unknown; use documented project inputs in Room worksheet I:M once resolved.</t>
  </si>
  <si>
    <t>Power-supply standby only — component reference</t>
  </si>
  <si>
    <t>Datasheet specifies 0.1 W standby consumption, approximated as local heat. Covers power supply only; not an entire recliner during movement, heating, massage or battery charging. Downstream standby loads and optional equipment must be added.</t>
  </si>
  <si>
    <t>LINAK SMPS006 recliner-system power supply — source below</t>
  </si>
  <si>
    <t>https://cdn.linak.com/-/media/files/data-sheet-source/en/accessory-smps006-data-sheet-eng.pdf</t>
  </si>
  <si>
    <t>LINAK SMPS006 recliner-system power supply</t>
  </si>
  <si>
    <t>Whole recliner standby and moving heat including downstream controls and options; supply-only standby is incomplete.</t>
  </si>
  <si>
    <t>Power-supply standby only — component reference Datasheet specifies 0.1 W standby consumption, approximated as local heat. Covers power supply only; not an entire recliner during movement, heating, massage or battery charging. Downstream standby loads and optional equipment must be added. This retains the original reference, including any unresolved source limitations; it is not newly validated net room heat. REQUIRED: Whole recliner standby and moving heat including downstream controls and options; supply-only standby is incomplete.</t>
  </si>
  <si>
    <t>Medication refrigerator</t>
  </si>
  <si>
    <t>NUMERIC EXAMPLE: 134.81 W (0.13481 kW); EXISTING REFERENCE — scope/state limits apply. TO COMPLETE: Installed medication-fridge model and state; net room emissions and loading; check overlap with medical/pharmacy entries. 460 BTU/h × 0.293071. One 150 L refrigerator example for overlapping medical/pharmacy/medication categories; count each physical unit once. D/E remain unknown; use documented project inputs in Room worksheet I:M once resolved.</t>
  </si>
  <si>
    <t>460 BTU/h × 0.293071. One 150 L refrigerator example for overlapping medical/pharmacy/medication categories; count each physical unit once.</t>
  </si>
  <si>
    <t>Installed medication-fridge model and state; net room emissions and loading; check overlap with medical/pharmacy entries.</t>
  </si>
  <si>
    <t>Manufacturer heat-emission example 460 BTU/h × 0.293071. One 150 L refrigerator example for overlapping medical/pharmacy/medication categories; count each physical unit once. This retains the original reference, including any unresolved source limitations; it is not newly validated net room heat. REQUIRED: Installed medication-fridge model and state; net room emissions and loading; check overlap with medical/pharmacy entries.</t>
  </si>
  <si>
    <t>Powered wheelchair charging station</t>
  </si>
  <si>
    <t>Match PowerFirst PF2405AL 24 V / 5 A wheelchair-compatible charger. Calculated charger loss: 24 VDC × 5 A, 230 VAC, 92% full-load efficiency. At specified 24 VDC / 5 A point, DC output 120 W; input 120/0.92 = 130.43 W; charger heat 10.43 W. Manufacturer lists wheelchair use and 92% efficiency at full load, 230 VAC, 24 VDC. Excludes battery heat, chair electronics and other station components. Not a charging-cycle average or charger compatibility approval. Zero latent requires no uncaptured moisture. Match room allocation and duty; count once.</t>
  </si>
  <si>
    <t>Calculated charger loss: 24 VDC × 5 A, 230 VAC, 92% full-load efficiency</t>
  </si>
  <si>
    <t>At specified 24 VDC / 5 A point, DC output 120 W; input 120/0.92 = 130.43 W; charger heat 10.43 W. Manufacturer lists wheelchair use and 92% efficiency at full load, 230 VAC, 24 VDC. Excludes battery heat, chair electronics and other station components. Not a charging-cycle average or charger compatibility approval.</t>
  </si>
  <si>
    <t>PowerFirst PF2405AL 24 V / 5 A wheelchair-compatible charger — source below</t>
  </si>
  <si>
    <t>https://www.epowerfirst.com/uploadfiles/2024/11/20241114112632922.pdf</t>
  </si>
  <si>
    <t>PowerFirst PF2405AL 24 V / 5 A wheelchair-compatible charger</t>
  </si>
  <si>
    <t>Self-service weighing scale</t>
  </si>
  <si>
    <t>Match Ishida Uni-7 self-service scale (reference, not installed-model confirmation). Operating; standby 50 W. Rice Lake published model specifications. Includes price computing/printing; confirm installed model. DO NOT use for active-operation hours. Zero latent requires no uncaptured moisture. Match room allocation and duty; count once.</t>
  </si>
  <si>
    <t>Operating; standby 50 W</t>
  </si>
  <si>
    <t>Rice Lake published model specifications. Includes price computing/printing; confirm installed model.</t>
  </si>
  <si>
    <t>Ishida Uni-7 self-service scale — source below</t>
  </si>
  <si>
    <t>https://cms-prod.ricelake.com/products/ishida-uni-7-series-price-computing-printing-scale/?print=true</t>
  </si>
  <si>
    <t>Ishida Uni-7 self-service scale (reference, not installed-model confirmation)</t>
  </si>
  <si>
    <t>Electronic security gate</t>
  </si>
  <si>
    <t>Match Dahua ASGY1XXA-X single flap turnstile (reference, not installed-model confirmation). Working; standby 10 W. Physical motorised barrier example, not an EAS radio gate. Intermittent actuation; count single turnstiles correctly. DO NOT use for active-operation hours. Zero latent requires no uncaptured moisture. Match room allocation and duty; count once.</t>
  </si>
  <si>
    <t>Working; standby 10 W</t>
  </si>
  <si>
    <t>Physical motorised barrier example, not an EAS radio gate. Intermittent actuation; count single turnstiles correctly.</t>
  </si>
  <si>
    <t>Dahua ASGY1XXA-X single flap turnstile — source below</t>
  </si>
  <si>
    <t>https://www.dahuasecurity.com/mena/products/All-Products/Access-Control--Time-Attendance/Turnstiles/Flap-Barrier/Lite/ASGY1XXA-X</t>
  </si>
  <si>
    <t>Dahua ASGY1XXA-X single flap turnstile (reference, not installed-model confirmation)</t>
  </si>
  <si>
    <t>Electronic article surveillance deactivator</t>
  </si>
  <si>
    <t>Match Sensormatic PowerPad Pro. Manufacturer typical consumption at240 V; max50 W. Historical manufacturer datasheet hosted by supplier. Approximate sensible heat with device inside room; not all surveillance deactivators. Zero latent requires no uncaptured moisture. Match room allocation and duty; count once.</t>
  </si>
  <si>
    <t>Manufacturer typical consumption at240 V; max50 W</t>
  </si>
  <si>
    <t>Historical manufacturer datasheet hosted by supplier. Approximate sensible heat with device inside room; not all surveillance deactivators.</t>
  </si>
  <si>
    <t>Sensormatic PowerPad Pro — see source</t>
  </si>
  <si>
    <t>https://protech.bg/wp-content/uploads/2019/05/PowerPad-20130409165158.pdf</t>
  </si>
  <si>
    <t>Sensormatic PowerPad Pro</t>
  </si>
  <si>
    <t>Shopping trolley charging station</t>
  </si>
  <si>
    <t>USER-REQUESTED HYPOTHETICAL EXAMPLE: 100 W (0.1 kW). Illustrative ten-cart charging station: assumed 10 W local charger/battery loss per cart ×10 =100 W; not a specification for ordinary passive shopping trolleys. Assumed for illustration, not sourced or project-approved. Sensible/latent split unverified. TO COMPLETE: Actual powered-cart system, charger count, batteries and charging schedule; conversion/battery losses locally released. Need powered-cart system, charger count, battery state and local losses; ordinary laptop trolleys are not equivalents. Reference link is supporting method/product context only; no numeric room-heat value established. D/E remain unknown; use documented project inputs in Room worksheet I:M once resolved.</t>
  </si>
  <si>
    <t>Need powered-cart system, charger count, battery state and local losses; ordinary laptop trolleys are not equivalents. Reference link is supporting method/product context only; no numeric room-heat value established.</t>
  </si>
  <si>
    <t>No installed model specified — Shopping trolley charging station — see source</t>
  </si>
  <si>
    <t>No installed model specified — Shopping trolley charging station</t>
  </si>
  <si>
    <t>Actual powered-cart system, charger count, batteries and charging schedule; conversion/battery losses locally released.</t>
  </si>
  <si>
    <t>Illustrative ten-cart charging station: assumed 10 W local charger/battery loss per cart ×10 =100 W; not a specification for ordinary passive shopping trolleys. REQUIRED: Actual powered-cart system, charger count, batteries and charging schedule; conversion/battery losses locally released.</t>
  </si>
  <si>
    <t>Digital advertising kiosk</t>
  </si>
  <si>
    <t>Match Elo 22-inch I-Series 2 Intel Celeron (reference, not installed-model confirmation). Manufacturer typical consumption. 22-inch all-in-one touchscreen example only; excludes external kiosk printer, lighting and other peripherals. i3/i5 variants 77/83 W. Zero latent requires no uncaptured moisture. Match room allocation and duty; count once.</t>
  </si>
  <si>
    <t>22-inch all-in-one touchscreen example only; excludes external kiosk printer, lighting and other peripherals. i3/i5 variants 77/83 W.</t>
  </si>
  <si>
    <t>Elo 22-inch I-Series 2 Intel Celeron — source below</t>
  </si>
  <si>
    <t>https://elosupport.elotouch.com/hc/en-us/articles/31424269152791-Where-can-I-find-22-inch-I-Series-2-with-Intel-information</t>
  </si>
  <si>
    <t>Elo 22-inch I-Series 2 Intel Celeron (reference, not installed-model confirmation)</t>
  </si>
  <si>
    <t>Interactive wayfinding kiosk</t>
  </si>
  <si>
    <t>Large video wall controller</t>
  </si>
  <si>
    <t>Match Extron Quantum Ultra 610. Upper configured thermal dissipation 1941 BTU/h /3.41214. Configuration range208–1941 BTU/h. Upper example, not usual average. Displays and remote endpoints separate. Zero latent requires no uncaptured moisture. Match room allocation and duty; count once.</t>
  </si>
  <si>
    <t>Upper configured thermal dissipation 1941 BTU/h /3.41214</t>
  </si>
  <si>
    <t>Configuration range208–1941 BTU/h. Upper example, not usual average. Displays and remote endpoints separate.</t>
  </si>
  <si>
    <t>Extron Quantum Ultra 610 — see source</t>
  </si>
  <si>
    <t>https://mediadev.extron.com/public/download/files/brochure/quantum_ultra_revB5.pdf</t>
  </si>
  <si>
    <t>Extron Quantum Ultra 610</t>
  </si>
  <si>
    <t>Cash recycler</t>
  </si>
  <si>
    <t>Match Glory CI-5. Upper published40–200 W operating range. Upper eventual heat reference, not average transaction duty. Confirm peripherals and configuration. Zero latent requires no uncaptured moisture. Match room allocation and duty; count once.</t>
  </si>
  <si>
    <t>Upper published40–200 W operating range</t>
  </si>
  <si>
    <t>Upper eventual heat reference, not average transaction duty. Confirm peripherals and configuration.</t>
  </si>
  <si>
    <t>Glory CI-5 — see source</t>
  </si>
  <si>
    <t>https://www.glory-global.com/-/media/GloryGlobal/Downloads/ASIAPAC/Glory_CI-5-Brochure_EN-SG.pdf</t>
  </si>
  <si>
    <t>Glory CI-5</t>
  </si>
  <si>
    <t>Banknote counter</t>
  </si>
  <si>
    <t>Match Safescan 2250 G2 (reference, not installed-model confirmation). Published consumption. Counting operation; earlier generations differ. Not 24-hour average. Zero latent requires no uncaptured moisture. Match room allocation and duty; count once.</t>
  </si>
  <si>
    <t>Counting operation; earlier generations differ. Not 24-hour average.</t>
  </si>
  <si>
    <t>Safescan 2250 G2 — source below</t>
  </si>
  <si>
    <t>https://safescandownload.safescan.com/Downloads/en/money-counters/2200/G2/Manual/Print/Safescan-2210-2250-G2-Print-Manual-EN.pdf</t>
  </si>
  <si>
    <t>Safescan 2250 G2 (reference, not installed-model confirmation)</t>
  </si>
  <si>
    <t>Coin counting machine</t>
  </si>
  <si>
    <t>Match Safescan 1250 (reference, not installed-model confirmation). Published power specification. 230 V/50 Hz coin counter example; printer excluded. Zero latent requires no uncaptured moisture. Match room allocation and duty; count once.</t>
  </si>
  <si>
    <t>Published power specification</t>
  </si>
  <si>
    <t>230 V/50 Hz coin counter example; printer excluded.</t>
  </si>
  <si>
    <t>Safescan 1250 — source below</t>
  </si>
  <si>
    <t>https://safescandownload.safescan.com/Downloads/en/money-counters/1250/Safescan-1250-Productsheet-EUR-IE.pdf</t>
  </si>
  <si>
    <t>Safescan 1250 (reference, not installed-model confirmation)</t>
  </si>
  <si>
    <t>Automated parcel locker — powered</t>
  </si>
  <si>
    <t>Match Zhilai ZL-PL-A31-A-000205 solar parcel locker. Published standby power only — excludes active cycles and charging. Manufacturer gives 0.312 W standby for this 15-compartment solar/battery locker. Conditional local sensible heat only while electronics are indoors and in standby. Not average active load; display/locks, battery charging and mains-converter losses need separate evidence. Outdoor placement contributes no direct indoor equipment load. DO NOT use for active-operation hours. Zero latent requires no uncaptured moisture. Match room allocation and duty; count once.</t>
  </si>
  <si>
    <t>Published standby power only — excludes active cycles and charging</t>
  </si>
  <si>
    <t>Manufacturer gives 0.312 W standby for this 15-compartment solar/battery locker. Conditional local sensible heat only while electronics are indoors and in standby. Not average active load; display/locks, battery charging and mains-converter losses need separate evidence. Outdoor placement contributes no direct indoor equipment load.</t>
  </si>
  <si>
    <t>Zhilai ZL-PL-A31-A-000205 solar parcel locker — see source</t>
  </si>
  <si>
    <t>https://www.smartelocker.com/products/smart-solar-parcel-locker-linux-cost-effective/</t>
  </si>
  <si>
    <t>Zhilai ZL-PL-A31-A-000205 solar parcel locker</t>
  </si>
  <si>
    <t>Parcel sorting conveyor</t>
  </si>
  <si>
    <t>USER-REQUESTED HYPOTHETICAL EXAMPLE: 1000 W (1 kW). Illustrative conveyor: assumed two 500 W net locally dissipating drives =1,000 W; level transport and no net exported/stored work assumed. Assumed for illustration, not sourced or project-approved. Sensible/latent split unverified. TO COMPLETE: Conveyor length and drive inventory, speed/payload/duty; actual power and work/heat destination. Need conveyor length/drive count, payload, speed and duty; generic installed motor kW is not normal heat. Reference link is supporting method/product context only; no numeric room-heat value established. D/E remain unknown; use documented project inputs in Room worksheet I:M once resolved.</t>
  </si>
  <si>
    <t>Need conveyor length/drive count, payload, speed and duty; generic installed motor kW is not normal heat. Reference link is supporting method/product context only; no numeric room-heat value established.</t>
  </si>
  <si>
    <t>No installed model specified — Parcel sorting conveyor — see source</t>
  </si>
  <si>
    <t>https://www.beumergroup.com/products-systems/logistics-systems/parcel-belt-conveyor/</t>
  </si>
  <si>
    <t>No installed model specified — Parcel sorting conveyor</t>
  </si>
  <si>
    <t>Conveyor length and drive inventory, speed/payload/duty; actual power and work/heat destination.</t>
  </si>
  <si>
    <t>Illustrative conveyor: assumed two 500 W net locally dissipating drives =1,000 W; level transport and no net exported/stored work assumed. REQUIRED: Conveyor length and drive inventory, speed/payload/duty; actual power and work/heat destination.</t>
  </si>
  <si>
    <t>Commercial label printer</t>
  </si>
  <si>
    <t>Match Zebra ZT411 (reference, not installed-model confirmation). 230 VAC, 50 Hz; test printing 6 ips, darkness 10, direct thermal. Typical test input; sleep 4.26 W. Settings and options change consumption. Zero latent requires no uncaptured moisture. Match room allocation and duty; count once.</t>
  </si>
  <si>
    <t>230 VAC, 50 Hz; test printing 6 ips, darkness 10, direct thermal</t>
  </si>
  <si>
    <t>Typical test input; sleep 4.26 W. Settings and options change consumption.</t>
  </si>
  <si>
    <t>Zebra ZT411 — source below</t>
  </si>
  <si>
    <t>https://docs.zebra.com/us/en/printers/industrial/zt411-zt421-industrial-printer-user-guide/c-zt4x1-specs/r-zt4x1-power-specifications.html/1000</t>
  </si>
  <si>
    <t>Zebra ZT411 (reference, not installed-model confirmation)</t>
  </si>
  <si>
    <t>Warehouse handheld scanner charging dock</t>
  </si>
  <si>
    <t>NUMERIC EXAMPLE: 108 W (0.108 kW); ELECTRICAL INPUT — not established room heat. TO COMPLETE: TC22/TC27 cradle, adapters and actual occupied slots; battery states and conversion losses, not 108 W maximum input as heat. Up to108 W electrical consumption for five-slot cradle; not108 W room heat. Require battery charge states/storage, charger conversion losses and AC adapter loss. D/E remain unknown; use documented project inputs in Room worksheet I:M once resolved.</t>
  </si>
  <si>
    <t>Maximum published cradle consumption,12 V DC</t>
  </si>
  <si>
    <t>Up to108 W electrical consumption for five-slot cradle; not108 W room heat. Require battery charge states/storage, charger conversion losses and AC adapter loss.</t>
  </si>
  <si>
    <t>Zebra TC22/TC27 five-slot charge-only cradle — see source</t>
  </si>
  <si>
    <t>https://docs.zebra.com/us/en/mobile-computers/handheld/tc2-series/tc22-tc27-prg/r-tc21-26-technical-specifications/r-tc22-tc27-5-slot-charge-only-cradle-specifications.html</t>
  </si>
  <si>
    <t>Zebra TC22/TC27 five-slot charge-only cradle</t>
  </si>
  <si>
    <t>TC22/TC27 cradle, adapters and actual occupied slots; battery states and conversion losses, not 108 W maximum input as heat.</t>
  </si>
  <si>
    <t>Existing electrical reference for Warehouse handheld scanner charging dock: 108 W. Up to108 W electrical consumption for five-slot cradle; not108 W room heat. Require battery charge states/storage, charger conversion losses and AC adapter loss. This is not a measured sensible/latent room load. Only a closed energy balance can justify equating it to eventual total heat; external steam, refrigerant, fluid, work, storage and exhaust can change that result. REQUIRED: TC22/TC27 cradle, adapters and actual occupied slots; battery states and conversion losses, not 108 W maximum input as heat.</t>
  </si>
  <si>
    <t>Automated vending machine — ambient products</t>
  </si>
  <si>
    <t>Match ASHRAE 2017 example: Ambient snack vending machine (reference, not installed-model confirmation). Table 10; measured peak. Reference test example, not the installed appliance or a universal typical value. Preserve stated hood/state and confirm duty. Published total retained; rounded components may not sum exactly. Zero latent requires no uncaptured moisture. Match room allocation and duty; count once.</t>
  </si>
  <si>
    <t>ASHRAE 2017 example: Ambient snack vending machine — source below</t>
  </si>
  <si>
    <t>ASHRAE 2017 example: Ambient snack vending machine (reference, not installed-model confirmation)</t>
  </si>
  <si>
    <t>Refrigerated sushi display</t>
  </si>
  <si>
    <t>NUMERIC EXAMPLE: 360 W (0.36 kW); EXISTING REFERENCE — scope/state limits apply. TO COMPLETE: Sushi-display model/conditions; condenser location and net room energy balance; do not add compressor input to rejection. 360 W condenser rejection example, NOT net room gain: subtract heat extracted from the same room if modelling whole-room balance. Do not add electrical 150 W again. D/E remain unknown; use documented project inputs in Room worksheet I:M once resolved.</t>
  </si>
  <si>
    <t>Published condenser heat rejection</t>
  </si>
  <si>
    <t>360 W condenser rejection example, NOT net room gain: subtract heat extracted from the same room if modelling whole-room balance. Do not add electrical 150 W again.</t>
  </si>
  <si>
    <t>Hoshizaki HNC-150BE-L-B — source below</t>
  </si>
  <si>
    <t>https://hoshizaki.com.hk/wp-content/uploads/2022/03/HNC-150BE-L-B_Drawing.pdf</t>
  </si>
  <si>
    <t>Hoshizaki HNC-150BE-L-B (reference, not installed-model confirmation)</t>
  </si>
  <si>
    <t>Sushi-display model/conditions; condenser location and net room energy balance; do not add compressor input to rejection.</t>
  </si>
  <si>
    <t>Published condenser heat rejection 360 W condenser rejection example, NOT net room gain: subtract heat extracted from the same room if modelling whole-room balance. Do not add electrical 150 W again. This retains the original reference, including any unresolved source limitations; it is not newly validated net room heat. REQUIRED: Sushi-display model/conditions; condenser location and net room energy balance; do not add compressor input to rejection.</t>
  </si>
  <si>
    <t>Heated food display</t>
  </si>
  <si>
    <t>Commercial chocolate tempering machine</t>
  </si>
  <si>
    <t>NUMERIC EXAMPLE: 1600 W (1.6 kW); ELECTRICAL INPUT — not established room heat. TO COMPLETE: Tempering-machine cycle, throughput and condenser location; chocolate heat export and local rejection. Manufacturer product specification reproduced in trade publication. Refrigerated tempering process: need cycle, chocolate throughput and condenser rejection; electrical input alone is insufficient. D/E remain unknown; use documented project inputs in Room worksheet I:M once resolved.</t>
  </si>
  <si>
    <t>Published input1.6 kW</t>
  </si>
  <si>
    <t>Manufacturer product specification reproduced in trade publication. Refrigerated tempering process: need cycle, chocolate throughput and condenser rejection; electrical input alone is insufficient.</t>
  </si>
  <si>
    <t>Selmi Plus EX — see source</t>
  </si>
  <si>
    <t>https://www.chiriottieditori.it/images/pdf/pdf_pi_wwe/web_piwwe_2013_02.pdf</t>
  </si>
  <si>
    <t>Selmi Plus EX</t>
  </si>
  <si>
    <t>Tempering-machine cycle, throughput and condenser location; chocolate heat export and local rejection.</t>
  </si>
  <si>
    <t>Existing electrical reference for Commercial chocolate tempering machine: 1600 W. Manufacturer product specification reproduced in trade publication. Refrigerated tempering process: need cycle, chocolate throughput and condenser rejection; electrical input alone is insufficient. This is not a measured sensible/latent room load. Only a closed energy balance can justify equating it to eventual total heat; external steam, refrigerant, fluid, work, storage and exhaust can change that result. REQUIRED: Tempering-machine cycle, throughput and condenser location; chocolate heat export and local rejection.</t>
  </si>
  <si>
    <t>Commercial soft-serve machine</t>
  </si>
  <si>
    <t>NUMERIC EXAMPLE: 6050 W (6.05 kW); ELECTRICAL INPUT — not established room heat. TO COMPLETE: Exact air- or water-cooled model and regional supply; production rate and condenser/room heat data. US 60 Hz manufacturer sheet hosted by distributor. Need air/water variant and condenser rejection; 6050 W is input not room heat. D/E remain unknown; use documented project inputs in Room worksheet I:M once resolved.</t>
  </si>
  <si>
    <t>US 60 Hz manufacturer sheet hosted by distributor. Need air/water variant and condenser rejection; 6050 W is input not room heat.</t>
  </si>
  <si>
    <t>Icetro ISI-303SNA/SNW — source below</t>
  </si>
  <si>
    <t>https://taylorfreezers.com/wp-content/uploads/2024/02/Icetro_ISI303SNASNW_SoftServe_SpecSheet_1.pdf</t>
  </si>
  <si>
    <t>Icetro ISI-303SNA/SNW (reference, not installed-model confirmation)</t>
  </si>
  <si>
    <t>Exact air- or water-cooled model and regional supply; production rate and condenser/room heat data.</t>
  </si>
  <si>
    <t>Existing electrical reference for Commercial soft-serve machine: 6050 W. US 60 Hz manufacturer sheet hosted by distributor. Need air/water variant and condenser rejection; 6050 W is input not room heat. This is not a measured sensible/latent room load. Only a closed energy balance can justify equating it to eventual total heat; external steam, refrigerant, fluid, work, storage and exhaust can change that result. REQUIRED: Exact air- or water-cooled model and regional supply; production rate and condenser/room heat data.</t>
  </si>
  <si>
    <t>Commercial slush machine</t>
  </si>
  <si>
    <t>NUMERIC EXAMPLE: 1000 W (1 kW); ELECTRICAL INPUT — not established room heat. TO COMPLETE: Actual slush production, condenser location and duty; product heat balance and local moisture. 230 V/50 Hz input. Rejection also includes product freezing load; require production duty and whole-room boundary. D/E remain unknown; use documented project inputs in Room worksheet I:M once resolved.</t>
  </si>
  <si>
    <t>230 V/50 Hz input. Rejection also includes product freezing load; require production duty and whole-room boundary.</t>
  </si>
  <si>
    <t>SPM MP slush machine — source below</t>
  </si>
  <si>
    <t>https://www.spm-drink-systems.com/slush-machines/mp/</t>
  </si>
  <si>
    <t>SPM MP slush machine (reference, not installed-model confirmation)</t>
  </si>
  <si>
    <t>Actual slush production, condenser location and duty; product heat balance and local moisture.</t>
  </si>
  <si>
    <t>Existing electrical reference for Commercial slush machine: 1000 W. 230 V/50 Hz input. Rejection also includes product freezing load; require production duty and whole-room boundary. This is not a measured sensible/latent room load. Only a closed energy balance can justify equating it to eventual total heat; external steam, refrigerant, fluid, work, storage and exhaust can change that result. REQUIRED: Actual slush production, condenser location and duty; product heat balance and local moisture.</t>
  </si>
  <si>
    <t>Commercial ice cream freezer</t>
  </si>
  <si>
    <t>NUMERIC EXAMPLE: 60.08 W (0.06008 kW); EXISTING REFERENCE — scope/state limits apply. TO COMPLETE: Actual freezer/model supply and ambient; duty/loading and gross-versus-net room heat boundary. US115 V/60 Hz model; source specifies205 BTU/h. Verify duty and model before use. Condenser rejection is not automatically net room heat; maintain stated clearances. D/E remain unknown; use documented project inputs in Room worksheet I:M once resolved.</t>
  </si>
  <si>
    <t>Published total heat rejection at75°F(23.9°C):205 BTU/h /3.41214</t>
  </si>
  <si>
    <t>US115 V/60 Hz model; source specifies205 BTU/h. Verify duty and model before use. Condenser rejection is not automatically net room heat; maintain stated clearances.</t>
  </si>
  <si>
    <t>Perlick8000B drop-in ice cream freezer — see source</t>
  </si>
  <si>
    <t>https://api.perlick.com/Data/PDFFiles/8000B31b3889096ce9bef6ca309ed072f1ffdb1e0e15e_Z2643_Ice_Cream_Cabinet_8000B_Operation_and_Installation_Manual_R290_04_20_23.pdf</t>
  </si>
  <si>
    <t>Perlick8000B drop-in ice cream freezer</t>
  </si>
  <si>
    <t>Actual freezer/model supply and ambient; duty/loading and gross-versus-net room heat boundary.</t>
  </si>
  <si>
    <t>Published total heat rejection at75°F(23.9°C):205 BTU/h /3.41214 US115 V/60 Hz model; source specifies205 BTU/h. Verify duty and model before use. Condenser rejection is not automatically net room heat; maintain stated clearances. This retains the original reference, including any unresolved source limitations; it is not newly validated net room heat. REQUIRED: Actual freezer/model supply and ambient; duty/loading and gross-versus-net room heat boundary.</t>
  </si>
  <si>
    <t>Supermarket checkout conveyor</t>
  </si>
  <si>
    <t>USER-REQUESTED HYPOTHETICAL EXAMPLE: 100 W (0.1 kW). Illustrative checkout belt: assumed 200 W local operating dissipation at 50% design-hour duty =100 W hourly average; POS terminal excluded. Do not apply 50% twice. Assumed for illustration, not sourced or project-approved. Sensible/latent split unverified. TO COMPLETE: Conveyor-only model and actual input/duty; separate POS electronics and mechanical work exported. Need conveyor-only input and operating duty; complete checkout-terminal consumption has a different boundary. Reference link is supporting method/product context only; no numeric room-heat value established. D/E remain unknown; use documented project inputs in Room worksheet I:M once resolved.</t>
  </si>
  <si>
    <t>Need conveyor-only input and operating duty; complete checkout-terminal consumption has a different boundary. Reference link is supporting method/product context only; no numeric room-heat value established.</t>
  </si>
  <si>
    <t>No installed model specified — Supermarket checkout conveyor — see source</t>
  </si>
  <si>
    <t>No installed model specified — Supermarket checkout conveyor</t>
  </si>
  <si>
    <t>Conveyor-only model and actual input/duty; separate POS electronics and mechanical work exported.</t>
  </si>
  <si>
    <t>Illustrative checkout belt: assumed 200 W local operating dissipation at 50% design-hour duty =100 W hourly average; POS terminal excluded. Do not apply 50% twice. REQUIRED: Conveyor-only model and actual input/duty; separate POS electronics and mechanical work exported.</t>
  </si>
  <si>
    <t>Retail security monitoring workstation</t>
  </si>
  <si>
    <t>Match AXIS Camera Station S9301 security-monitoring workstation. Manufacturer typical power; workstation only. Published typical 50 W (170.6 BTU/h); maximum 70 W. 90 W adapter capacity is not typical draw. Conditional local sensible gain with workstation/adapter inside room; displays and external peripherals counted separately. Workload and installed configuration must match; not a whole security-system allowance. Zero latent requires no uncaptured moisture. Match room allocation and duty; count once.</t>
  </si>
  <si>
    <t>Manufacturer typical power; workstation only</t>
  </si>
  <si>
    <t>Published typical 50 W (170.6 BTU/h); maximum 70 W. 90 W adapter capacity is not typical draw. Conditional local sensible gain with workstation/adapter inside room; displays and external peripherals counted separately. Workload and installed configuration must match; not a whole security-system allowance.</t>
  </si>
  <si>
    <t>AXIS Camera Station S9301 security-monitoring workstation — see source</t>
  </si>
  <si>
    <t>https://www.axis.com/dam/public/74/b3/34/datasheet-axis-camera-station-s9301-workstation--en-US-488093.pdf</t>
  </si>
  <si>
    <t>AXIS Camera Station S9301 security-monitoring workstation</t>
  </si>
  <si>
    <t>Residential</t>
  </si>
  <si>
    <t>Electric induction hob</t>
  </si>
  <si>
    <t>Electric wall oven</t>
  </si>
  <si>
    <t>NUMERIC EXAMPLE: 3000 W (3 kW); ELECTRICAL INPUT — not established room heat. TO COMPLETE: Oven preheat/bake/idle schedule; food heat export, vapour and exhaust; avoid duplicate oven entry. Oven rating; duty, food heating, moisture and exhaust affect room gain. Same oven category duplicate must count once. D/E remain unknown; use documented project inputs in Room worksheet I:M once resolved.</t>
  </si>
  <si>
    <t>Oven rating; duty, food heating, moisture and exhaust affect room gain. Same oven category duplicate must count once.</t>
  </si>
  <si>
    <t>Oven preheat/bake/idle schedule; food heat export, vapour and exhaust; avoid duplicate oven entry.</t>
  </si>
  <si>
    <t>Existing electrical reference for Electric wall oven: 3000 W. Oven rating; duty, food heating, moisture and exhaust affect room gain. Same oven category duplicate must count once. This is not a measured sensible/latent room load. Only a closed energy balance can justify equating it to eventual total heat; external steam, refrigerant, fluid, work, storage and exhaust can change that result. REQUIRED: Oven preheat/bake/idle schedule; food heat export, vapour and exhaust; avoid duplicate oven entry.</t>
  </si>
  <si>
    <t>Rangehood — motor only</t>
  </si>
  <si>
    <t>USER-REQUESTED HYPOTHETICAL EXAMPLE: 20 W (0.02 kW). Illustrative rangehood motor: assumed 100 W real input with 80 W carried outdoors and 20 W local loss; allocation is hypothetical; makeup-air load separate. Assumed for illustration, not sourced or project-approved. Sensible/latent split unverified. TO COMPLETE: Selected fan speed and motor location; heat discharged in exhaust versus room; makeup-air calculation separately. Need selected fan-speed input and motor location. Exhaust carries heat outside; replacement-air load is separate. Reference link is supporting method/product context only; no numeric room-heat value established. D/E remain unknown; use documented project inputs in Room worksheet I:M once resolved.</t>
  </si>
  <si>
    <t>Need selected fan-speed input and motor location. Exhaust carries heat outside; replacement-air load is separate. Reference link is supporting method/product context only; no numeric room-heat value established.</t>
  </si>
  <si>
    <t>No installed model specified — Rangehood — motor only — see source</t>
  </si>
  <si>
    <t>No installed model specified — Rangehood — motor only</t>
  </si>
  <si>
    <t>Selected fan speed and motor location; heat discharged in exhaust versus room; makeup-air calculation separately.</t>
  </si>
  <si>
    <t>Illustrative rangehood motor: assumed 100 W real input with 80 W carried outdoors and 20 W local loss; allocation is hypothetical; makeup-air load separate. REQUIRED: Selected fan speed and motor location; heat discharged in exhaust versus room; makeup-air calculation separately.</t>
  </si>
  <si>
    <t>Bathroom exhaust fan</t>
  </si>
  <si>
    <t>NUMERIC EXAMPLE: 6.4 W (0.0064 kW); ELECTRICAL INPUT — not established room heat. TO COMPLETE: Actual fan/regional supply and operating point; motor heat destination and makeup-air load separately. US exhaust fan at 50 CFM/0.1 inch w.g.; 6.4 W input. Exhaust removes fan heat; not automatically room sensible gain. Confirm regional voltage. D/E remain unknown; use documented project inputs in Room worksheet I:M once resolved.</t>
  </si>
  <si>
    <t>Actual fan/regional supply and operating point; motor heat destination and makeup-air load separately.</t>
  </si>
  <si>
    <t>Existing electrical reference for Bathroom exhaust fan: 6.4 W. US exhaust fan at 50 CFM/0.1 inch w.g.; 6.4 W input. Exhaust removes fan heat; not automatically room sensible gain. Confirm regional voltage. This is not a measured sensible/latent room load. Only a closed energy balance can justify equating it to eventual total heat; external steam, refrigerant, fluid, work, storage and exhaust can change that result. REQUIRED: Actual fan/regional supply and operating point; motor heat destination and makeup-air load separately.</t>
  </si>
  <si>
    <t>Heated towel rail</t>
  </si>
  <si>
    <t>Electric underfloor heating controller</t>
  </si>
  <si>
    <t>CONDITIONAL — controller standby maximum</t>
  </si>
  <si>
    <t>0.2 W sensible / 0 W latent is a derived maximum standby allowance for the DEVIreg Room thermostat itself at 220–240 V. Use only for standby, with its heat retained in this room. It is NOT active-relay heat or the connected floor-heating load. Select the real heating/standby schedule separately; this tiny standby value must not replace active heating. Manufacturer electrical input supports the estimate; no engineer approval is implied.</t>
  </si>
  <si>
    <t>DEVIreg Room maximum standby input; room-heat estimate assumes local dissipation.</t>
  </si>
  <si>
    <t>DEVI — DEVIreg Room, Specification: maximum standby power 0.2 W; accessed 19 Oct 2026</t>
  </si>
  <si>
    <t>https://www.devi.com/en/products/thermostats/indoor-applications/devireg-room</t>
  </si>
  <si>
    <t>Conditional example only — model/state/boundary confirmation required</t>
  </si>
  <si>
    <t>DEVIreg Room thermostat (reference, not installed-model confirmation)</t>
  </si>
  <si>
    <t>Primary source rechecked 19 Oct 2026; heat conversion is an explicitly conditional estimate</t>
  </si>
  <si>
    <t>Project review required — no engineering approval recorded</t>
  </si>
  <si>
    <t>Confirm exact model, operating state and all adjacent conditions before use</t>
  </si>
  <si>
    <t>Electric fireplace</t>
  </si>
  <si>
    <t>Match Dimplex Caden CDN20-AU (example; not installed-model confirmation). Full heating setting. Heating equipment: include in cooling scenario only if actually operating, not as an additional heating demand. Heat inference: real input becomes sensible heat if retained in this zone; no intentional moisture source. Zero latent requires no uncaptured moisture. Match room allocation and duty; count once.</t>
  </si>
  <si>
    <t>Full heating setting</t>
  </si>
  <si>
    <t>Heating equipment: include in cooling scenario only if actually operating, not as an additional heating demand. Heat inference: real input becomes sensible heat if retained in this zone; no intentional moisture source.</t>
  </si>
  <si>
    <t>Dimplex Caden CDN20-AU — manufacturer specification</t>
  </si>
  <si>
    <t>https://www.dimplex.com.au/sites/g/files/emiian331/files/2024-01/Dimplex_Heating%20_Electric%20Fires_2024.pdf</t>
  </si>
  <si>
    <t>Dimplex Caden CDN20-AU (example; not installed-model confirmation)</t>
  </si>
  <si>
    <t>Television set-top box</t>
  </si>
  <si>
    <t>Match Apple TV 4K third generation (reference, not installed-model confirmation). 230 V streaming 4K HDR test. Measured manufacturer example; television separate. 2.30 W 4K non-HDR; 0.50 W network standby. Zero latent requires no uncaptured moisture. Match room allocation and duty; count once.</t>
  </si>
  <si>
    <t>230 V streaming 4K HDR test</t>
  </si>
  <si>
    <t>Measured manufacturer example; television separate. 2.30 W 4K non-HDR; 0.50 W network standby.</t>
  </si>
  <si>
    <t>Apple TV 4K third generation — source below</t>
  </si>
  <si>
    <t>https://www.apple.com/nz/environment/pdf/products/appletv/Apple_TV_4K_PER_Oct2022.pdf</t>
  </si>
  <si>
    <t>Apple TV 4K third generation (reference, not installed-model confirmation)</t>
  </si>
  <si>
    <t>Home entertainment receiver</t>
  </si>
  <si>
    <t>Match Yamaha RX-V385 (reference, not installed-model confirmation). Published power consumption, not typical listening. 260 W eventual sensible gain only if receiver AND passive speakers dissipate within same room. Receiver enclosure alone excludes exported speaker power. Avoid counting speakers twice. Zero latent requires no uncaptured moisture. Match room allocation and duty; count once.</t>
  </si>
  <si>
    <t>Published power consumption, not typical listening</t>
  </si>
  <si>
    <t>260 W eventual sensible gain only if receiver AND passive speakers dissipate within same room. Receiver enclosure alone excludes exported speaker power. Avoid counting speakers twice.</t>
  </si>
  <si>
    <t>Yamaha RX-V385 — source below</t>
  </si>
  <si>
    <t>https://manual.yamaha.com/av/18/rxv385/en-US/329936523.html</t>
  </si>
  <si>
    <t>Yamaha RX-V385 (reference, not installed-model confirmation)</t>
  </si>
  <si>
    <t>Robotic vacuum — charging dock</t>
  </si>
  <si>
    <t>Match Tapo RV30 Max Plus Gen 2 plus RVD102 dock. Fully charged networked standby only. Manufacturer specifies 1.8 W for robot and dock together in networked standby, approximated as heat in their room. Not active charging, cleaning or dust-emptying power. Dock alone low-power mode is 0.3 W. No assumed hourly charging schedule. DO NOT use for active-operation hours. Zero latent requires no uncaptured moisture. Match room allocation and duty; count once.</t>
  </si>
  <si>
    <t>Fully charged networked standby only</t>
  </si>
  <si>
    <t>Manufacturer specifies 1.8 W for robot and dock together in networked standby, approximated as heat in their room. Not active charging, cleaning or dust-emptying power. Dock alone low-power mode is 0.3 W. No assumed hourly charging schedule.</t>
  </si>
  <si>
    <t>Tapo RV30 Max Plus Gen 2 plus RVD102 dock — source below</t>
  </si>
  <si>
    <t>https://www.tp-link.com/au/document/134157/</t>
  </si>
  <si>
    <t>Tapo RV30 Max Plus Gen 2 plus RVD102 dock</t>
  </si>
  <si>
    <t>Electric adjustable bed</t>
  </si>
  <si>
    <t>CONDITIONAL — defined bed standby only</t>
  </si>
  <si>
    <t>0.1 W sensible / 0 W latent is a standby maximum estimate for one LINAK TD4 Standard 220–240 V assembly with integrated control, in a passive bed with no other powered equipment. Use only when motion and under-bed light are off and local electrical dissipation stays in this room. Other bed controls/options must be separately accounted for. Not an occupied-bed or active movement load; add occupants separately. Do not use this standby value for moving, massage, heating or charging.</t>
  </si>
  <si>
    <t>LINAK TD4 Standard standby maximum; one integrated assembly, passive bed, all powered options off.</t>
  </si>
  <si>
    <t>LINAK — TD4 Standard Data Sheet, pp2–3; 2026-08, LIT-22-02-001 C; accessed 19 Oct 2026</t>
  </si>
  <si>
    <t>https://cdn.linak.com/-/media/files/data-sheet-source/en/dual-actuator-td4-standard-data-sheet-eng.pdf</t>
  </si>
  <si>
    <t>LINAK TD4 Standard adjustable-bed dual actuator with integrated control</t>
  </si>
  <si>
    <t>Hotel</t>
  </si>
  <si>
    <t>Electronic minibar refrigerator</t>
  </si>
  <si>
    <t>NUMERIC EXAMPLE: 13.33 W (0.01333 kW); EXISTING REFERENCE — scope/state limits apply. TO COMPLETE: Design-hour running/defrost load and room balance; annual-average energy does not establish a sizing peak. NET whole-room gain example at 25°C ambient /4°C cabinet with no net product heat flow and entire unit inside room. Not condenser rejection or sizing peak; input running range 42–52 W. D/E remain unknown; use documented project inputs in Room worksheet I:M once resolved.</t>
  </si>
  <si>
    <t>Cycle average: 0.32 kWh/day × 1000 / 24</t>
  </si>
  <si>
    <t>NET whole-room gain example at 25°C ambient /4°C cabinet with no net product heat flow and entire unit inside room. Not condenser rejection or sizing peak; input running range 42–52 W.</t>
  </si>
  <si>
    <t>Minibar Systems SmartCube Classic DC40T — source below</t>
  </si>
  <si>
    <t>https://smartcube.minibarsystems.com/wp-content/uploads/2024/03/DOC0338_SmartCube-Classic-DC40T-Drawer-Model-Specification.pdf</t>
  </si>
  <si>
    <t>Hotel / hospitality</t>
  </si>
  <si>
    <t>Minibar Systems SmartCube Classic DC40T (reference, not installed-model confirmation)</t>
  </si>
  <si>
    <t>Design-hour running/defrost load and room balance; annual-average energy does not establish a sizing peak.</t>
  </si>
  <si>
    <t>Cycle average: 0.32 kWh/day × 1000 / 24 NET whole-room gain example at 25°C ambient /4°C cabinet with no net product heat flow and entire unit inside room. Not condenser rejection or sizing peak; input running range 42–52 W. This retains the original reference, including any unresolved source limitations; it is not newly validated net room heat. REQUIRED: Design-hour running/defrost load and room balance; annual-average energy does not establish a sizing peak.</t>
  </si>
  <si>
    <t>Hotel room safe</t>
  </si>
  <si>
    <t>USER-REQUESTED HYPOTHETICAL EXAMPLE: 0.0006 W (6e-7 kW). Illustrative safe: assumed 6 V ×0.0001 A average current =0.0006 W; assumed current includes opening duty. Battery count alone does not support this figure. Assumed for illustration, not sourced or project-approved. Sensible/latent split unverified. TO COMPLETE: Whole-safe idle current and energy per opening at actual battery voltage; openings/hour. Battery count does not determine usual heat watts. Need idle current and energy/opening with usage; do not assign zero. D/E remain unknown; use documented project inputs in Room worksheet I:M once resolved.</t>
  </si>
  <si>
    <t>Four AA batteries; real operating energy absent</t>
  </si>
  <si>
    <t>Battery count does not determine usual heat watts. Need idle current and energy/opening with usage; do not assign zero.</t>
  </si>
  <si>
    <t>Onity OS700 safe — see source</t>
  </si>
  <si>
    <t>https://www.onity.com/en/asia-pacific/media/Onity_OS700safe_DataSheet_0525-001_tcm1056-162990.pdf</t>
  </si>
  <si>
    <t>Onity OS700 safe</t>
  </si>
  <si>
    <t>Whole-safe idle current and energy per opening at actual battery voltage; openings/hour.</t>
  </si>
  <si>
    <t>Illustrative safe: assumed 6 V ×0.0001 A average current =0.0006 W; assumed current includes opening duty. Battery count alone does not support this figure. REQUIRED: Whole-safe idle current and energy per opening at actual battery voltage; openings/hour.</t>
  </si>
  <si>
    <t>Electronic door lock</t>
  </si>
  <si>
    <t>Match ASSA ABLOY Securitron M62 electromagnetic lock. Energised holding state at 24 VDC. 24 V × 0.150 A = 3.6 W local lock dissipation while energised. At 12 V the published 0.250 A gives 3 W. Excludes access controller and PSU losses; pulsed battery locks are a different subtype. Apply actual energised duty and room location. Zero latent requires no uncaptured moisture. Match room allocation and duty; count once.</t>
  </si>
  <si>
    <t>Energised holding state at 24 VDC</t>
  </si>
  <si>
    <t>24 V × 0.150 A = 3.6 W local lock dissipation while energised. At 12 V the published 0.250 A gives 3 W. Excludes access controller and PSU losses; pulsed battery locks are a different subtype. Apply actual energised duty and room location.</t>
  </si>
  <si>
    <t>ASSA ABLOY Securitron M62 electromagnetic lock — see source</t>
  </si>
  <si>
    <t>https://www.assaabloy.com/za/en/solutions/products/digital-access-solutions/wired-solutions/electromagnetic-lock/securitron/securitron-m62</t>
  </si>
  <si>
    <t>ASSA ABLOY Securitron M62 electromagnetic lock</t>
  </si>
  <si>
    <t>Guest-room control panel</t>
  </si>
  <si>
    <t>Match Lutron myRoom Plus GCU-HOSP controller (reference, not installed-model confirmation). Typical processor consumption. Controller only; linked lighting/shades/peripherals and supply conversion losses separate. Zero latent requires no uncaptured moisture. Match room allocation and duty; count once.</t>
  </si>
  <si>
    <t>Typical processor consumption</t>
  </si>
  <si>
    <t>Controller only; linked lighting/shades/peripherals and supply conversion losses separate.</t>
  </si>
  <si>
    <t>Lutron myRoom Plus GCU-HOSP controller — source below</t>
  </si>
  <si>
    <t>https://assets.lutron.com/a/documents/369708_GuestRoom_Controller.pdf</t>
  </si>
  <si>
    <t>Lutron myRoom Plus GCU-HOSP controller (reference, not installed-model confirmation)</t>
  </si>
  <si>
    <t>Motorised curtain system</t>
  </si>
  <si>
    <t>Match TOSO Ti-8040 curtain motor (reference, not installed-model confirmation). Maximum-load motion; standby ≤2.5 W. Intermittent movement only; eventual mechanical work dissipated indoors. Not a continuous 90 W gain. DO NOT use for active-operation hours. Zero latent requires no uncaptured moisture. Match room allocation and duty; count once.</t>
  </si>
  <si>
    <t>Maximum-load motion; standby ≤2.5 W</t>
  </si>
  <si>
    <t>Intermittent movement only; eventual mechanical work dissipated indoors. Not a continuous 90 W gain.</t>
  </si>
  <si>
    <t>TOSO Ti-8040 curtain motor — source below</t>
  </si>
  <si>
    <t>https://www.toso.com/download/pdf_catalog/pdf/motorized/Ti-8040_202502E.pdf</t>
  </si>
  <si>
    <t>TOSO Ti-8040 curtain motor (reference, not installed-model confirmation)</t>
  </si>
  <si>
    <t>Hair straightener</t>
  </si>
  <si>
    <t>NUMERIC EXAMPLE: 55 W (0.055 kW); EXISTING REFERENCE — scope/state limits apply. TO COMPLETE: Straightener setting and actual duty; hair moisture evaporation and where heated hair/appliance cool. Conditional eventual heat when appliance/hair remain in room; thermostat and short use reduce hourly average. Any moisture split unquantified. D/E remain unknown; use documented project inputs in Room worksheet I:M once resolved.</t>
  </si>
  <si>
    <t>Published electrical consumption</t>
  </si>
  <si>
    <t>Conditional eventual heat when appliance/hair remain in room; thermostat and short use reduce hourly average. Any moisture split unquantified.</t>
  </si>
  <si>
    <t>Panasonic EH-HS41 — see source</t>
  </si>
  <si>
    <t>https://www.panasonic.com/content/dam/Panasonic/MEA/pdf-download/Beauty/EH-HS41_OI.pdf</t>
  </si>
  <si>
    <t>Panasonic EH-HS41</t>
  </si>
  <si>
    <t>Straightener setting and actual duty; hair moisture evaporation and where heated hair/appliance cool.</t>
  </si>
  <si>
    <t>Published electrical consumption Conditional eventual heat when appliance/hair remain in room; thermostat and short use reduce hourly average. Any moisture split unquantified. This retains the original reference, including any unresolved source limitations; it is not newly validated net room heat. REQUIRED: Straightener setting and actual duty; hair moisture evaporation and where heated hair/appliance cool.</t>
  </si>
  <si>
    <t>Electric shaver charging dock</t>
  </si>
  <si>
    <t>NUMERIC EXAMPLE: 0.04 W (0.00004 kW); EXISTING REFERENCE — scope/state limits apply. TO COMPLETE: Actual adapter/dock/shaver combination; charging-stage and standby losses with battery state. Published standby input 0.04 W, approximated as local heat. Not the 9 W maximum charging input. Supplied product excludes mains adapter; separately include adapter losses where applicable. Not a usual active-charging allowance. D/E remain unknown; use documented project inputs in Room worksheet I:M once resolved.</t>
  </si>
  <si>
    <t>Standby only — active charging heat not represented</t>
  </si>
  <si>
    <t>Published standby input 0.04 W, approximated as local heat. Not the 9 W maximum charging input. Supplied product excludes mains adapter; separately include adapter losses where applicable. Not a usual active-charging allowance.</t>
  </si>
  <si>
    <t>Philips S5885/35 shaver with charging stand — source below</t>
  </si>
  <si>
    <t>https://www.philips.co.uk/shop/UK_Garment_Care_Essentials/shop/UK_Garment_Care_Essentials/personal-care/face-shavers/shaver-series-5000-wet-dry-electric-shaver/p/S5885_35</t>
  </si>
  <si>
    <t>Philips S5885/35 shaver with charging stand</t>
  </si>
  <si>
    <t>Actual adapter/dock/shaver combination; charging-stage and standby losses with battery state.</t>
  </si>
  <si>
    <t>Standby only — active charging heat not represented Published standby input 0.04 W, approximated as local heat. Not the 9 W maximum charging input. Supplied product excludes mains adapter; separately include adapter losses where applicable. Not a usual active-charging allowance. This retains the original reference, including any unresolved source limitations; it is not newly validated net room heat. REQUIRED: Actual adapter/dock/shaver combination; charging-stage and standby losses with battery state.</t>
  </si>
  <si>
    <t>Commercial ice dispenser</t>
  </si>
  <si>
    <t>NUMERIC EXAMPLE: 890.9 W (0.8909 kW); EXISTING REFERENCE — scope/state limits apply. TO COMPLETE: Actual dispenser model and production duty; condenser location and ice/water/drain balance. 3040 BTU/h ×0.293071; model-specific total rejection. D/E remain unknown; use documented project inputs in Room worksheet I:M once resolved.</t>
  </si>
  <si>
    <t>3040 BTU/h ×0.293071; model-specific total rejection.</t>
  </si>
  <si>
    <t>Hoshizaki DCM-231/241U air-cooled — manufacturer specification</t>
  </si>
  <si>
    <t>Hoshizaki DCM-231/241U air-cooled (example; not installed-model confirmation)</t>
  </si>
  <si>
    <t>Actual dispenser model and production duty; condenser location and ice/water/drain balance.</t>
  </si>
  <si>
    <t>32.2°C air / 21.1°C water; historical model 3040 BTU/h ×0.293071; model-specific total rejection. This retains the original reference, including any unresolved source limitations; it is not newly validated net room heat. REQUIRED: Actual dispenser model and production duty; condenser location and ice/water/drain balance.</t>
  </si>
  <si>
    <t>Hotel laundry ironer</t>
  </si>
  <si>
    <t>NUMERIC EXAMPLE: 1250 W (1.25 kW); EXISTING REFERENCE — scope/state limits apply. TO COMPLETE: Irone​r cycle and linen moisture throughput; exhaust arrangement; manufacturer room sensible/latent split. 4.50 MJ/h / 3.6 = 1.25 kW into room. Manufacturer total connected load 5.00 kW; heater 4.50 kW. Replaces earlier HM16-83 electrical-only example. Do not generalise to all ironers; linen moisture, extraction and cycle must be selected. D/E remain unknown; use documented project inputs in Room worksheet I:M once resolved.</t>
  </si>
  <si>
    <t>Published room dissipation, 400 V 50–60 Hz marine variant example</t>
  </si>
  <si>
    <t>4.50 MJ/h / 3.6 = 1.25 kW into room. Manufacturer total connected load 5.00 kW; heater 4.50 kW. Replaces earlier HM16-83 electrical-only example. Do not generalise to all ironers; linen moisture, extraction and cycle must be selected.</t>
  </si>
  <si>
    <t>Miele PRI 210 [EL SOM STW AB] rotary ironer — source below</t>
  </si>
  <si>
    <t>https://media.miele.com/downloads/n-/gb/FS_11741310_GBE_GB-en-GB.pdf</t>
  </si>
  <si>
    <t>Not separately specified — verify sensible/latent split</t>
  </si>
  <si>
    <t>Not separately specified — verify moisture load</t>
  </si>
  <si>
    <t>Miele PRI 210 [EL SOM STW AB] rotary ironer</t>
  </si>
  <si>
    <t>Irone​r cycle and linen moisture throughput; exhaust arrangement; manufacturer room sensible/latent split.</t>
  </si>
  <si>
    <t>Published room dissipation, 400 V 50–60 Hz marine variant example 4.50 MJ/h / 3.6 = 1.25 kW into room. Manufacturer total connected load 5.00 kW; heater 4.50 kW. Replaces earlier HM16-83 electrical-only example. Do not generalise to all ironers; linen moisture, extraction and cycle must be selected. This retains the original reference, including any unresolved source limitations; it is not newly validated net room heat. REQUIRED: Irone​r cycle and linen moisture throughput; exhaust arrangement; manufacturer room sensible/latent split.</t>
  </si>
  <si>
    <t>Commercial linen folder</t>
  </si>
  <si>
    <t>USER-REQUESTED HYPOTHETICAL EXAMPLE: 500 W (0.5 kW). Illustrative linen folder: assumed 500 W net local motor/control dissipation averaged over selected throughput; externally supplied compressed-air heat not included. Assumed for illustration, not sourced or project-approved. Sensible/latent split unverified. TO COMPLETE: Folder modules, motor/compressed-air loads and throughput; local real input and work/heat destination. Need folder configuration, motors, compressed-air supply and throughput; voltage alone is not watts. Reference link is supporting method/product context only; no numeric room-heat value established. D/E remain unknown; use documented project inputs in Room worksheet I:M once resolved.</t>
  </si>
  <si>
    <t>Need folder configuration, motors, compressed-air supply and throughput; voltage alone is not watts. Reference link is supporting method/product context only; no numeric room-heat value established.</t>
  </si>
  <si>
    <t>No installed model specified — Commercial linen folder — see source</t>
  </si>
  <si>
    <t>No installed model specified — Commercial linen folder</t>
  </si>
  <si>
    <t>Folder modules, motor/compressed-air loads and throughput; local real input and work/heat destination.</t>
  </si>
  <si>
    <t>Illustrative linen folder: assumed 500 W net local motor/control dissipation averaged over selected throughput; externally supplied compressed-air heat not included. REQUIRED: Folder modules, motor/compressed-air loads and throughput; local real input and work/heat destination.</t>
  </si>
  <si>
    <t>Electric luggage conveyor</t>
  </si>
  <si>
    <t>Match Forbo Amp Miser Schiphol reference arrival conveyor. Published measured load of one example conveyor. Conditional whole-area heat when motor work/friction stays indoors. Standard comparison belt1603 W. Length, loading and motor locations must match; not a general baggage-system average. Zero latent requires no uncaptured moisture. Match room allocation and duty; count once.</t>
  </si>
  <si>
    <t>Published measured load of one example conveyor</t>
  </si>
  <si>
    <t>Conditional whole-area heat when motor work/friction stays indoors. Standard comparison belt1603 W. Length, loading and motor locations must match; not a general baggage-system average.</t>
  </si>
  <si>
    <t>Forbo Amp Miser Schiphol reference arrival conveyor — see source</t>
  </si>
  <si>
    <t>https://www.forbo.com/movement/en-gl/about-us/winning-solutions/schiphol-airport/pvyp7v</t>
  </si>
  <si>
    <t>Forbo Amp Miser Schiphol reference arrival conveyor</t>
  </si>
  <si>
    <t>Commercial coffee vending machine</t>
  </si>
  <si>
    <t>NUMERIC EXAMPLE: 65.42 W (0.06542 kW); EXISTING REFERENCE — scope/state limits apply. TO COMPLETE: Confirm idle versus vending duty, tank/vent moisture and drink export; sensible/latent split of reported idle energy. Manufacturer idle energy 1570 Wh/24 h ÷ 24 = 65.42 W. Approximate total room heat over steady idle operation with no drinks or hot water exported and no external exhaust. Not peak or active vending heat; warm-up, drinks, evaporation and any milk cooler require separate treatment. Sensible/latent split unreported. D/E remain unknown; use documented project inputs in Room worksheet I:M once resolved.</t>
  </si>
  <si>
    <t>Idle average heat estimate from published daily energy</t>
  </si>
  <si>
    <t>Manufacturer idle energy 1570 Wh/24 h ÷ 24 = 65.42 W. Approximate total room heat over steady idle operation with no drinks or hot water exported and no external exhaust. Not peak or active vending heat; warm-up, drinks, evaporation and any milk cooler require separate treatment. Sensible/latent split unreported.</t>
  </si>
  <si>
    <t>ETNA — Energy rating, Dorado Instant Medium and Large; EVA protocol 3.1B</t>
  </si>
  <si>
    <t>https://www.etna-ct.com/media/andlswed/energy-rating-etna-dorado-instant-medium-and-large.pdf</t>
  </si>
  <si>
    <t>Split not specified</t>
  </si>
  <si>
    <t>ETNA Dorado Instant Medium/Large — idle-mode reference</t>
  </si>
  <si>
    <t>Confirm idle versus vending duty, tank/vent moisture and drink export; sensible/latent split of reported idle energy.</t>
  </si>
  <si>
    <t>Idle average heat estimate from published daily energy Manufacturer idle energy 1570 Wh/24 h ÷ 24 = 65.42 W. Approximate total room heat over steady idle operation with no drinks or hot water exported and no external exhaust. Not peak or active vending heat; warm-up, drinks, evaporation and any milk cooler require separate treatment. Sensible/latent split unreported. This retains the original reference, including any unresolved source limitations; it is not newly validated net room heat. REQUIRED: Confirm idle versus vending duty, tank/vent moisture and drink export; sensible/latent split of reported idle energy.</t>
  </si>
  <si>
    <t>Electrical</t>
  </si>
  <si>
    <t>Distribution board — internal heat losses</t>
  </si>
  <si>
    <t>NUMERIC EXAMPLE: 48 W (0.048 kW); EXISTING REFERENCE — scope/state limits apply. TO COMPLETE: Complete board component list and actual currents; breaker, busbar, meter, supply and auxiliary losses. Schneider manufacturer PEP ENVPEP1409009 / SCHN-2014-082 (10/2014), reproduced on Scribd: A9F74216 2P 16 A C dissipates 4.0 W at 100% load. Illustrative 12 × 4 = 48 W; NOT a complete distribution board. Excludes busbars, main switch, meters, other protection and cooling. Quantity is an explicit example, not typical/installed. D/E remain unknown; use documented project inputs in Room worksheet I:M once resolved.</t>
  </si>
  <si>
    <t>Breaker-only losses at each breaker’s rated load</t>
  </si>
  <si>
    <t>Schneider manufacturer PEP ENVPEP1409009 / SCHN-2014-082 (10/2014), reproduced on Scribd: A9F74216 2P 16 A C dissipates 4.0 W at 100% load. Illustrative 12 × 4 = 48 W; NOT a complete distribution board. Excludes busbars, main switch, meters, other protection and cooling. Quantity is an explicit example, not typical/installed.</t>
  </si>
  <si>
    <t>Illustrative breaker subtotal: 12 × Schneider iC60N A9F74216 — source below</t>
  </si>
  <si>
    <t>https://www.scribd.com/document/366543489/IC60</t>
  </si>
  <si>
    <t>Electrical / plant rooms</t>
  </si>
  <si>
    <t>Illustrative breaker subtotal: 12 × Schneider iC60N A9F74216</t>
  </si>
  <si>
    <t>Complete board component list and actual currents; breaker, busbar, meter, supply and auxiliary losses.</t>
  </si>
  <si>
    <t>Breaker-only losses at each breaker’s rated load Schneider manufacturer PEP ENVPEP1409009 / SCHN-2014-082 (10/2014), reproduced on Scribd: A9F74216 2P 16 A C dissipates 4.0 W at 100% load. Illustrative 12 × 4 = 48 W; NOT a complete distribution board. Excludes busbars, main switch, meters, other protection and cooling. Quantity is an explicit example, not typical/installed. This retains the original reference, including any unresolved source limitations; it is not newly validated net room heat. REQUIRED: Complete board component list and actual currents; breaker, busbar, meter, supply and auxiliary losses.</t>
  </si>
  <si>
    <t>Main switchboard — internal heat losses</t>
  </si>
  <si>
    <t>USER-REQUESTED HYPOTHETICAL EXAMPLE: 500 W (0.5 kW). Illustrative switchboard: assumed 300 W protective-device losses +150 W busbar/cable losses +50 W controls =500 W. Component losses/current profile are hypothetical. Assumed for illustration, not sourced or project-approved. Sensible/latent split unverified. TO COMPLETE: Complete switchboard schedule, actual circuit currents and manufacturer loss data; enclosure cooling destination. Need fitted breakers/busbars, actual currents and loss calculations; switchboard ampere rating is insufficient. Reference link is supporting method/product context only; no numeric room-heat value established. D/E remain unknown; use documented project inputs in Room worksheet I:M once resolved.</t>
  </si>
  <si>
    <t>Need fitted breakers/busbars, actual currents and loss calculations; switchboard ampere rating is insufficient. Reference link is supporting method/product context only; no numeric room-heat value established.</t>
  </si>
  <si>
    <t>No installed model specified — Main switchboard — internal heat losses — see source</t>
  </si>
  <si>
    <t>https://www.se.com/in/en/product-range/2560-proclima/</t>
  </si>
  <si>
    <t>No installed model specified — Main switchboard — internal heat losses</t>
  </si>
  <si>
    <t>Complete switchboard schedule, actual circuit currents and manufacturer loss data; enclosure cooling destination.</t>
  </si>
  <si>
    <t>Illustrative switchboard: assumed 300 W protective-device losses +150 W busbar/cable losses +50 W controls =500 W. Component losses/current profile are hypothetical. REQUIRED: Complete switchboard schedule, actual circuit currents and manufacturer loss data; enclosure cooling destination.</t>
  </si>
  <si>
    <t>Motor control centre</t>
  </si>
  <si>
    <t>NUMERIC EXAMPLE: 192 W (0.192 kW); EXISTING REFERENCE — scope/state limits apply. TO COMPLETE: Actual MCC inventory and drive loading; contactor, busbar and auxiliary losses in addition to selected drives. Explicit example quantity of six drives × published 32 W dissipation = 192 W. Quantity is illustrative, not an installed or typical MCC. Excludes busbars, contactors, other controls, brakes and enclosure cooling. Do not add motor output ratings as cabinet heat. D/E remain unknown; use documented project inputs in Room worksheet I:M once resolved.</t>
  </si>
  <si>
    <t>Drive-loss subtotal at published 380 V, 4 kHz condition</t>
  </si>
  <si>
    <t>Explicit example quantity of six drives × published 32 W dissipation = 192 W. Quantity is illustrative, not an installed or typical MCC. Excludes busbars, contactors, other controls, brakes and enclosure cooling. Do not add motor output ratings as cabinet heat.</t>
  </si>
  <si>
    <t>Illustrative subtotal: six Schneider ATV320U07N4C drives — source below</t>
  </si>
  <si>
    <t>Illustrative subtotal: six Schneider ATV320U07N4C drives</t>
  </si>
  <si>
    <t>Actual MCC inventory and drive loading; contactor, busbar and auxiliary losses in addition to selected drives.</t>
  </si>
  <si>
    <t>Drive-loss subtotal at published 380 V, 4 kHz condition Explicit example quantity of six drives × published 32 W dissipation = 192 W. Quantity is illustrative, not an installed or typical MCC. Excludes busbars, contactors, other controls, brakes and enclosure cooling. Do not add motor output ratings as cabinet heat. This retains the original reference, including any unresolved source limitations; it is not newly validated net room heat. REQUIRED: Actual MCC inventory and drive loading; contactor, busbar and auxiliary losses in addition to selected drives.</t>
  </si>
  <si>
    <t>Power transformer — losses only</t>
  </si>
  <si>
    <t>Match ABB9T10A1007,225 kVA dry-type transformer. Published design total loss at100% load, rise+20°C reference. Core383.5 W + winding4707.3 W =5090.8 W at rated load. At fraction f, approximate loss383.5+4707.3×f² with reference-temperature caveats. US60 Hz design-data example; auxiliary cooling separate. This is transformer loss, not225 kVA output. Zero latent requires no uncaptured moisture. Match room allocation and duty; count once.</t>
  </si>
  <si>
    <t>Published design total loss at100% load, rise+20°C reference</t>
  </si>
  <si>
    <t>Core383.5 W + winding4707.3 W =5090.8 W at rated load. At fraction f, approximate loss383.5+4707.3×f² with reference-temperature caveats. US60 Hz design-data example; auxiliary cooling separate. This is transformer loss, not225 kVA output.</t>
  </si>
  <si>
    <t>ABB9T10A1007,225 kVA dry-type transformer — see source</t>
  </si>
  <si>
    <t>https://library.industrialsolutions.abb.com/publibrary/checkout/9T10A1007-TTD?TNR=Data+Sheets%7C9T10A1007-TTD%7CPDF%2F1000</t>
  </si>
  <si>
    <t>ABB9T10A1007,225 kVA dry-type transformer</t>
  </si>
  <si>
    <t>Variable-speed drive cabinet</t>
  </si>
  <si>
    <t>NUMERIC EXAMPLE: 56 W (0.056 kW); EXISTING REFERENCE — scope/state limits apply. TO COMPLETE: Complete drive-cabinet losses at actual load/switching frequency, including resistors, cooling and supplies. 56 W drive loss at 380 V/4 kHz; incomplete cabinet allowance. Add actual fan, PSU, resistor and other component losses; do not count drive twice. D/E remain unknown; use documented project inputs in Room worksheet I:M once resolved.</t>
  </si>
  <si>
    <t>Single-drive cabinet component example</t>
  </si>
  <si>
    <t>56 W drive loss at 380 V/4 kHz; incomplete cabinet allowance. Add actual fan, PSU, resistor and other component losses; do not count drive twice.</t>
  </si>
  <si>
    <t>One ATV320U15N4B drive only — source below</t>
  </si>
  <si>
    <t>One ATV320U15N4B drive only (reference, not installed-model confirmation)</t>
  </si>
  <si>
    <t>Complete drive-cabinet losses at actual load/switching frequency, including resistors, cooling and supplies.</t>
  </si>
  <si>
    <t>Single-drive cabinet component example 56 W drive loss at 380 V/4 kHz; incomplete cabinet allowance. Add actual fan, PSU, resistor and other component losses; do not count drive twice. This retains the original reference, including any unresolved source limitations; it is not newly validated net room heat. REQUIRED: Complete drive-cabinet losses at actual load/switching frequency, including resistors, cooling and supplies.</t>
  </si>
  <si>
    <t>Soft starter cabinet</t>
  </si>
  <si>
    <t>NUMERIC EXAMPLE: 1 W (0.001 kW); EXISTING REFERENCE — scope/state limits apply. TO COMPLETE: Starter start/bypass duty and whole-cabinet auxiliary losses; do not use 1 W bypass loss during starting. 1 W starter loss; starting transient 31 W. Cabinet auxiliaries not included; operating-state example only. D/E remain unknown; use documented project inputs in Room worksheet I:M once resolved.</t>
  </si>
  <si>
    <t>End of starting/full load with bypass</t>
  </si>
  <si>
    <t>1 W starter loss; starting transient 31 W. Cabinet auxiliaries not included; operating-state example only.</t>
  </si>
  <si>
    <t>One Schneider ATS01N106FT starter — source below</t>
  </si>
  <si>
    <t>https://iportal.se.com/Contents/docs/SQD-ATS01N106FT.PDF</t>
  </si>
  <si>
    <t>One Schneider ATS01N106FT starter (reference, not installed-model confirmation)</t>
  </si>
  <si>
    <t>Starter start/bypass duty and whole-cabinet auxiliary losses; do not use 1 W bypass loss during starting.</t>
  </si>
  <si>
    <t>End of starting/full load with bypass 1 W starter loss; starting transient 31 W. Cabinet auxiliaries not included; operating-state example only. This retains the original reference, including any unresolved source limitations; it is not newly validated net room heat. REQUIRED: Starter start/bypass duty and whole-cabinet auxiliary losses; do not use 1 W bypass loss during starting.</t>
  </si>
  <si>
    <t>Power factor correction capacitor bank</t>
  </si>
  <si>
    <t>Match Schneider PowerLogic PFC Smart detuned bank VA100B40140, 100 kvar. Upper-bound loss at full 100 kvar; 480 V / 60 Hz reference. Manufacturer bank loss &lt;6 W/kvar, hence &lt;600 W for 100 kvar. C uses 600 W as upper bound, not average. Specific detuned bank with incoming breaker, all stages engaged. North American 480 V/60 Hz example; not an AU 400 V/50 Hz substitution. Verify local model and stage operation. Zero latent requires no uncaptured moisture. Match room allocation and duty; count once.</t>
  </si>
  <si>
    <t>Upper-bound loss at full 100 kvar; 480 V / 60 Hz reference</t>
  </si>
  <si>
    <t>Manufacturer bank loss &lt;6 W/kvar, hence &lt;600 W for 100 kvar. C uses 600 W as upper bound, not average. Specific detuned bank with incoming breaker, all stages engaged. North American 480 V/60 Hz example; not an AU 400 V/50 Hz substitution. Verify local model and stage operation.</t>
  </si>
  <si>
    <t>Schneider PowerLogic PFC Smart detuned bank VA100B40140, 100 kvar — source below</t>
  </si>
  <si>
    <t>https://productinfo.se.com/nadigest/5c51d645347bdf0001f1f280/Master/17704_MAIN%20%28bookmap%29_0000041932.xml/%24/LowVoltageStandardAutomaticCapacitorBanksCPT_0000085054</t>
  </si>
  <si>
    <t>Schneider PowerLogic PFC Smart detuned bank VA100B40140, 100 kvar</t>
  </si>
  <si>
    <t>Harmonic filter</t>
  </si>
  <si>
    <t>Match Schaffner FN3410-10-44 harmonic filter. Calculated manufacturer loss at rated4 kW load /400 V /50 Hz. Manufacturer datasheet hosted by supplier.60 W is filter loss, not drive input.500 V/5.5 kW case83 W. Match actual filter/load. Zero latent requires no uncaptured moisture. Match room allocation and duty; count once.</t>
  </si>
  <si>
    <t>Calculated manufacturer loss at rated4 kW load /400 V /50 Hz</t>
  </si>
  <si>
    <t>Manufacturer datasheet hosted by supplier.60 W is filter loss, not drive input.500 V/5.5 kW case83 W. Match actual filter/load.</t>
  </si>
  <si>
    <t>Schaffner FN3410-10-44 harmonic filter — see source</t>
  </si>
  <si>
    <t>https://www.ineltro.ch/media/downloads/SAAItem/53/53845/a7340aa4-71be-4a73-b720-26d8a5e0137f.pdf</t>
  </si>
  <si>
    <t>Schaffner FN3410-10-44 harmonic filter</t>
  </si>
  <si>
    <t>Rectifier cabinet</t>
  </si>
  <si>
    <t>NUMERIC EXAMPLE: 16 W (0.016 kW); EXISTING REFERENCE — scope/state limits apply. TO COMPLETE: Rectifier count/loading and efficiency/loss curves; cabinet auxiliaries and cooling; DC output is exported power. Single 240 W DC supply example, not complete cabinet. 240 W delivered output is not cabinet heat; add actual auxiliaries. D/E remain unknown; use documented project inputs in Room worksheet I:M once resolved.</t>
  </si>
  <si>
    <t>Upper nominal-load loss bound at 230 VAC (&lt;16 W)</t>
  </si>
  <si>
    <t>Single 240 W DC supply example, not complete cabinet. 240 W delivered output is not cabinet heat; add actual auxiliaries.</t>
  </si>
  <si>
    <t>One Phoenix Contact QUINT4-PS/1AC/24DC/10/+/F 1672244 — source below</t>
  </si>
  <si>
    <t>https://www.phoenixcontact.com/en-us/products/power-supply-unit-quint4-ps-1ac-24dc-10-f-1672244</t>
  </si>
  <si>
    <t>One Phoenix Contact QUINT4-PS/1AC/24DC/10/+/F 1672244 (reference, not installed-model confirmation)</t>
  </si>
  <si>
    <t>Rectifier count/loading and efficiency/loss curves; cabinet auxiliaries and cooling; DC output is exported power.</t>
  </si>
  <si>
    <t>Upper nominal-load loss bound at 230 VAC (&lt;16 W) Single 240 W DC supply example, not complete cabinet. 240 W delivered output is not cabinet heat; add actual auxiliaries. This retains the original reference, including any unresolved source limitations; it is not newly validated net room heat. REQUIRED: Rectifier count/loading and efficiency/loss curves; cabinet auxiliaries and cooling; DC output is exported power.</t>
  </si>
  <si>
    <t>DC power supply cabinet</t>
  </si>
  <si>
    <t>NUMERIC EXAMPLE: 16 W (0.016 kW); EXISTING REFERENCE — scope/state limits apply. TO COMPLETE: DC-supply count/loading and losses; cabinet auxiliaries; exclude delivered power to remote loads. Single 240 W DC supply example, not complete cabinet. 240 W delivered output is not cabinet heat; add actual auxiliaries. D/E remain unknown; use documented project inputs in Room worksheet I:M once resolved.</t>
  </si>
  <si>
    <t>DC-supply count/loading and losses; cabinet auxiliaries; exclude delivered power to remote loads.</t>
  </si>
  <si>
    <t>Upper nominal-load loss bound at 230 VAC (&lt;16 W) Single 240 W DC supply example, not complete cabinet. 240 W delivered output is not cabinet heat; add actual auxiliaries. This retains the original reference, including any unresolved source limitations; it is not newly validated net room heat. REQUIRED: DC-supply count/loading and losses; cabinet auxiliaries; exclude delivered power to remote loads.</t>
  </si>
  <si>
    <t>Battery charger cabinet</t>
  </si>
  <si>
    <t>NUMERIC EXAMPLE: 15.03 W (0.01503 kW); EXISTING REFERENCE — scope/state limits apply. TO COMPLETE: Charger version and charging stages, battery losses and cabinet auxiliaries; verify load-dependent efficiency. Datasheet 2026-07-06: rated output 30.4 V × 4 A = 121.6 W; typical XLR efficiency 89%. Input = 121.6/0.89 = 136.63 W; local charger loss = 15.03 W. Defined one-charger subtotal, not complete battery system. Excludes battery losses, fans and other cabinet parts. Not all-stage average; TB version efficiency differs. D/E remain unknown; use documented project inputs in Room worksheet I:M once resolved.</t>
  </si>
  <si>
    <t>Calculated charger loss at rated 121.6 W output, 230 VAC, 25°C</t>
  </si>
  <si>
    <t>Datasheet 2026-07-06: rated output 30.4 V × 4 A = 121.6 W; typical XLR efficiency 89%. Input = 121.6/0.89 = 136.63 W; local charger loss = 15.03 W. Defined one-charger subtotal, not complete battery system. Excludes battery losses, fans and other cabinet parts. Not all-stage average; TB version efficiency differs.</t>
  </si>
  <si>
    <t>Example charger cabinet containing one MEAN WELL NPB-120-24 XLR only — source below</t>
  </si>
  <si>
    <t>https://www.meanwell.com/Upload/PDF/NPB-120/NPB-120-spec.pdf</t>
  </si>
  <si>
    <t>Example charger cabinet containing one MEAN WELL NPB-120-24 XLR only</t>
  </si>
  <si>
    <t>Charger version and charging stages, battery losses and cabinet auxiliaries; verify load-dependent efficiency.</t>
  </si>
  <si>
    <t>Calculated charger loss at rated 121.6 W output, 230 VAC, 25°C Datasheet 2026-07-06: rated output 30.4 V × 4 A = 121.6 W; typical XLR efficiency 89%. Input = 121.6/0.89 = 136.63 W; local charger loss = 15.03 W. Defined one-charger subtotal, not complete battery system. Excludes battery losses, fans and other cabinet parts. Not all-stage average; TB version efficiency differs. This retains the original reference, including any unresolved source limitations; it is not newly validated net room heat. REQUIRED: Charger version and charging stages, battery losses and cabinet auxiliaries; verify load-dependent efficiency.</t>
  </si>
  <si>
    <t>Control panel / PLC cabinet</t>
  </si>
  <si>
    <t>NUMERIC EXAMPLE: 9 W (0.009 kW); EXISTING REFERENCE — scope/state limits apply. TO COMPLETE: Installed PLC/IO/HMI/relay/PSU inventory and losses; locate remote field loads separately. Manufacturer lists typical power loss 9 W. This fills the PLC contribution, not a complete cabinet total. Add actual PSU, I/O modules, HMI, relays, fans and cable losses; keep remote field loads outside the panel boundary. Hardware generations differ. D/E remain unknown; use documented project inputs in Room worksheet I:M once resolved.</t>
  </si>
  <si>
    <t>Published typical PLC CPU loss; CPU contribution only</t>
  </si>
  <si>
    <t>Manufacturer lists typical power loss 9 W. This fills the PLC contribution, not a complete cabinet total. Add actual PSU, I/O modules, HMI, relays, fans and cable losses; keep remote field loads outside the panel boundary. Hardware generations differ.</t>
  </si>
  <si>
    <t>Siemens S7-1200 CPU 1212C DC/DC/DC, 6ES7212-1AE40-0XB0 — source below</t>
  </si>
  <si>
    <t>https://support.industry.siemens.com/teddatasheet/?caller=SIOS&amp;format=pdf&amp;language=en&amp;mlfbs=6ES7212-1AE40-0XB0</t>
  </si>
  <si>
    <t>Siemens S7-1200 CPU 1212C DC/DC/DC, 6ES7212-1AE40-0XB0</t>
  </si>
  <si>
    <t>Installed PLC/IO/HMI/relay/PSU inventory and losses; locate remote field loads separately.</t>
  </si>
  <si>
    <t>Published typical PLC CPU loss; CPU contribution only Manufacturer lists typical power loss 9 W. This fills the PLC contribution, not a complete cabinet total. Add actual PSU, I/O modules, HMI, relays, fans and cable losses; keep remote field loads outside the panel boundary. Hardware generations differ. This retains the original reference, including any unresolved source limitations; it is not newly validated net room heat. REQUIRED: Installed PLC/IO/HMI/relay/PSU inventory and losses; locate remote field loads separately.</t>
  </si>
  <si>
    <t>Building management system control panel</t>
  </si>
  <si>
    <t>NUMERIC EXAMPLE: 6 W (0.006 kW); EXISTING REFERENCE — scope/state limits apply. TO COMPLETE: Installed BMS controller/IO/relay/PSU inventory and losses; distinguish AC apparent power from DC real input. Manufacturer DC base load 6 W (0.25 A × 24 V). This is the controller contribution, not complete panel heat. Add in-panel PSU losses, I/O, relays and fans for actual configuration; allocate remote field-device heat separately. AC 10 VA is not 10 W. D/E remain unknown; use documented project inputs in Room worksheet I:M once resolved.</t>
  </si>
  <si>
    <t>Controller base load; no TXM, KNX PL-Link or field-device loading</t>
  </si>
  <si>
    <t>Manufacturer DC base load 6 W (0.25 A × 24 V). This is the controller contribution, not complete panel heat. Add in-panel PSU losses, I/O, relays and fans for actual configuration; allocate remote field-device heat separately. AC 10 VA is not 10 W.</t>
  </si>
  <si>
    <t>Siemens PXC4.E16-2 BMS controller only, supplied at 24 VDC — source below</t>
  </si>
  <si>
    <t>https://sid.siemens.com/r/A6V14651312/13182215947_25410645643__en-US_17067653003</t>
  </si>
  <si>
    <t>Siemens PXC4.E16-2 BMS controller only, supplied at 24 VDC</t>
  </si>
  <si>
    <t>Installed BMS controller/IO/relay/PSU inventory and losses; distinguish AC apparent power from DC real input.</t>
  </si>
  <si>
    <t>Controller base load; no TXM, KNX PL-Link or field-device loading Manufacturer DC base load 6 W (0.25 A × 24 V). This is the controller contribution, not complete panel heat. Add in-panel PSU losses, I/O, relays and fans for actual configuration; allocate remote field-device heat separately. AC 10 VA is not 10 W. This retains the original reference, including any unresolved source limitations; it is not newly validated net room heat. REQUIRED: Installed BMS controller/IO/relay/PSU inventory and losses; distinguish AC apparent power from DC real input.</t>
  </si>
  <si>
    <t>Industrial computer / HMI</t>
  </si>
  <si>
    <t>Match Siemens KTP700 Basic second generation HMI (reference, not installed-model confirmation). Typical DC power; manufacturer says loss generally equals consumption. HMI panel only, not complete industrial PC or cabinet. External 24 V supply losses additional if in room. Zero latent requires no uncaptured moisture. Match room allocation and duty; count once.</t>
  </si>
  <si>
    <t>Typical DC power; manufacturer says loss generally equals consumption</t>
  </si>
  <si>
    <t>HMI panel only, not complete industrial PC or cabinet. External 24 V supply losses additional if in room.</t>
  </si>
  <si>
    <t>Siemens KTP700 Basic second generation HMI — source below</t>
  </si>
  <si>
    <t>https://support.industry.siemens.com/cs/attachments/90114350/HWBasicPanels2GenUS_en-US.pdf</t>
  </si>
  <si>
    <t>Siemens KTP700 Basic second generation HMI (reference, not installed-model confirmation)</t>
  </si>
  <si>
    <t>Protection relay panel</t>
  </si>
  <si>
    <t>NUMERIC EXAMPLE: 30 W (0.03 kW); EXISTING REFERENCE — scope/state limits apply. TO COMPLETE: Relay count/state and real power; supplies, other controls and fans; complete panel loss total. One relay component, not total protection panel. AC specification75 VA is not watts. Need relay count, PSU and other panel components. D/E remain unknown; use documented project inputs in Room worksheet I:M once resolved.</t>
  </si>
  <si>
    <t>Upper bound &lt;30 W DC</t>
  </si>
  <si>
    <t>One relay component, not total protection panel. AC specification75 VA is not watts. Need relay count, PSU and other panel components.</t>
  </si>
  <si>
    <t>SEL-751 single relay, DC supply — see source</t>
  </si>
  <si>
    <t>https://selinc.com/api/download/10734/?lang=en</t>
  </si>
  <si>
    <t>SEL-751 single relay, DC supply</t>
  </si>
  <si>
    <t>Relay count/state and real power; supplies, other controls and fans; complete panel loss total.</t>
  </si>
  <si>
    <t>Upper bound &lt;30 W DC One relay component, not total protection panel. AC specification75 VA is not watts. Need relay count, PSU and other panel components. This retains the original reference, including any unresolved source limitations; it is not newly validated net room heat. REQUIRED: Relay count/state and real power; supplies, other controls and fans; complete panel loss total.</t>
  </si>
  <si>
    <t>Generator control panel</t>
  </si>
  <si>
    <t>NUMERIC EXAMPLE: 4.08 W (0.00408 kW); EXISTING REFERENCE — scope/state limits apply. TO COMPLETE: Controller state plus battery charger, cabinet heater and relay losses; generator heat separately. 12 V × 0.340 A = 4.08 W controller contribution. Published standby 12 V × 0.160 A = 1.92 W. Does not cover battery charger, cabinet heater, switched relay loads or generator heat. Add actual panel components and PSU losses separately. D/E remain unknown; use documented project inputs in Room worksheet I:M once resolved.</t>
  </si>
  <si>
    <t>Maximum controller operating current at 12 VDC</t>
  </si>
  <si>
    <t>12 V × 0.340 A = 4.08 W controller contribution. Published standby 12 V × 0.160 A = 1.92 W. Does not cover battery charger, cabinet heater, switched relay loads or generator heat. Add actual panel components and PSU losses separately.</t>
  </si>
  <si>
    <t>Deep Sea Electronics DSE7320 MKII generator controller only — source below</t>
  </si>
  <si>
    <t>https://www.deepseaelectronics.com/genset/auto-mains-utility-failure-control-modules/dse7320-mkii</t>
  </si>
  <si>
    <t>Deep Sea Electronics DSE7320 MKII generator controller only</t>
  </si>
  <si>
    <t>Controller state plus battery charger, cabinet heater and relay losses; generator heat separately.</t>
  </si>
  <si>
    <t>Maximum controller operating current at 12 VDC 12 V × 0.340 A = 4.08 W controller contribution. Published standby 12 V × 0.160 A = 1.92 W. Does not cover battery charger, cabinet heater, switched relay loads or generator heat. Add actual panel components and PSU losses separately. This retains the original reference, including any unresolved source limitations; it is not newly validated net room heat. REQUIRED: Controller state plus battery charger, cabinet heater and relay losses; generator heat separately.</t>
  </si>
  <si>
    <t>Solar inverter</t>
  </si>
  <si>
    <t>Match Fronius Primo GEN24 5.0 (reference, not installed-model confirmation). Calculated loss at 5000 W AC output, 400 V DC, 97.5% full-load efficiency. Loss = 5000 × (1/0.975 − 1) = 128.21 W. Apply only if inverter is inside room. Operating-point example, not typical daily load or AC output heat. Zero latent requires no uncaptured moisture. Match room allocation and duty; count once.</t>
  </si>
  <si>
    <t>Calculated loss at 5000 W AC output, 400 V DC, 97.5% full-load efficiency</t>
  </si>
  <si>
    <t>Loss = 5000 × (1/0.975 − 1) = 128.21 W. Apply only if inverter is inside room. Operating-point example, not typical daily load or AC output heat.</t>
  </si>
  <si>
    <t>Fronius Primo GEN24 5.0 — source below</t>
  </si>
  <si>
    <t>https://www.fronius.com/en-gb/uk/solar-energy/installers-partners/technical-data/all-products/inverters/fronius-primo-gen24/fronius-primo-gen24-5-0</t>
  </si>
  <si>
    <t>Fronius Primo GEN24 5.0 (reference, not installed-model confirmation)</t>
  </si>
  <si>
    <t>Battery energy storage system — inverter losses</t>
  </si>
  <si>
    <t>Match Victron MultiPlus-II 48/4k5/55-32, 230 V inverter. Zero-load inverter operation; not active battery charging or loaded conversion. Manufacturer zero-load input 20 W becomes local loss when inverter is indoors. AES mode 13 W; search mode 8 W. This is an idle example only: loaded charging/discharging needs a loss curve at the actual operating point. Excludes battery losses, other cabinets and external loads. Do not derive full-load losses from maximum efficiency. Zero latent requires no uncaptured moisture. Match room allocation and duty; count once.</t>
  </si>
  <si>
    <t>Zero-load inverter operation; not active battery charging or loaded conversion</t>
  </si>
  <si>
    <t>Manufacturer zero-load input 20 W becomes local loss when inverter is indoors. AES mode 13 W; search mode 8 W. This is an idle example only: loaded charging/discharging needs a loss curve at the actual operating point. Excludes battery losses, other cabinets and external loads. Do not derive full-load losses from maximum efficiency.</t>
  </si>
  <si>
    <t>Victron MultiPlus-II 48/4k5/55-32, 230 V inverter — see source</t>
  </si>
  <si>
    <t>https://www.victronenergy.com/media/pg/MultiPlus-II_4k_4k5_6k5_10k_230V/en/technical-specifications-mp-ii-k-230v.html</t>
  </si>
  <si>
    <t>Victron MultiPlus-II 48/4k5/55-32, 230 V inverter</t>
  </si>
  <si>
    <t>Automatic transfer switch</t>
  </si>
  <si>
    <t>NUMERIC EXAMPLE: 20 W (0.02 kW); EXISTING REFERENCE — scope/state limits apply. TO COMPLETE: Actual AP77XX operating currents and resistive losses added to the 20 W fixed-loss reference; not a building ATS proxy. Schneider FAQ rechecked 19 Oct 2026: approximately 20 W is fixed AP77XX electronics consumption, excluding current-dependent resistive losses. D/E remain unknown; use documented project inputs in Room worksheet I:M once resolved.</t>
  </si>
  <si>
    <t>Approximate fixed electronics consumption</t>
  </si>
  <si>
    <t>20 W excludes current-dependent resistive losses; rack model example, not building ATS total.</t>
  </si>
  <si>
    <t>APC AP77XX rack automatic transfer switch — see source</t>
  </si>
  <si>
    <t>APC AP77XX rack automatic transfer switch</t>
  </si>
  <si>
    <t>Actual AP77XX operating currents and resistive losses added to the 20 W fixed-loss reference; not a building ATS proxy.</t>
  </si>
  <si>
    <t>Approximate fixed electronics consumption 20 W excludes current-dependent resistive losses; rack model example, not building ATS total. This retains the original reference, including any unresolved source limitations; it is not newly validated net room heat. REQUIRED: Actual AP77XX operating currents and resistive losses added to the 20 W fixed-loss reference; not a building ATS proxy.</t>
  </si>
  <si>
    <t>Industrial</t>
  </si>
  <si>
    <t>Electric actuator bank</t>
  </si>
  <si>
    <t>NUMERIC EXAMPLE: 1 W (0.001 kW); EXISTING REFERENCE — scope/state limits apply. TO COMPLETE: Actual actuator count, moving/holding duty and supply losses; use per-device state data, not one device for a bank. Per actuator while moving; rest 0.2 W. A bank needs actual count and duty; not 1 W for an entire bank. D/E remain unknown; use documented project inputs in Room worksheet I:M once resolved.</t>
  </si>
  <si>
    <t>Per actuator while moving; rest 0.2 W. A bank needs actual count and duty; not 1 W for an entire bank.</t>
  </si>
  <si>
    <t>Belimo LM24A, one actuator — source below</t>
  </si>
  <si>
    <t>https://www.belimo.com/mam/general-documents/datasheets/en-gb/belimo_LM24A_datasheet_en-gb.pdf</t>
  </si>
  <si>
    <t>Industrial / plant rooms</t>
  </si>
  <si>
    <t>Belimo LM24A, one actuator (reference, not installed-model confirmation)</t>
  </si>
  <si>
    <t>Actual actuator count, moving/holding duty and supply losses; use per-device state data, not one device for a bank.</t>
  </si>
  <si>
    <t>Manufacturer operating/rated example; see qualification Per actuator while moving; rest 0.2 W. A bank needs actual count and duty; not 1 W for an entire bank. This retains the original reference, including any unresolved source limitations; it is not newly validated net room heat. REQUIRED: Actual actuator count, moving/holding duty and supply losses; use per-device state data, not one device for a bank.</t>
  </si>
  <si>
    <t>Process control instrumentation cabinet</t>
  </si>
  <si>
    <t>USER-REQUESTED HYPOTHETICAL EXAMPLE: 100 W (0.1 kW). Illustrative instrumentation cabinet: assumed 40 W instruments +30 W supplies +20 W IO +10 W fan =100 W local dissipation; field loads excluded. Assumed for illustration, not sourced or project-approved. Sensible/latent split unverified. TO COMPLETE: Actual instrument/PLC/IO/PSU inventory and local loss data; separate remote field equipment. Need instrument/PLC/I/O/PSU inventory and real dissipation; field transmitters outside cabinet must be allocated separately. Reference link is supporting method/product context only; no numeric room-heat value established. D/E remain unknown; use documented project inputs in Room worksheet I:M once resolved.</t>
  </si>
  <si>
    <t>Need instrument/PLC/I/O/PSU inventory and real dissipation; field transmitters outside cabinet must be allocated separately. Reference link is supporting method/product context only; no numeric room-heat value established.</t>
  </si>
  <si>
    <t>No installed model specified — Process control instrumentation cabinet — see source</t>
  </si>
  <si>
    <t>No installed model specified — Process control instrumentation cabinet</t>
  </si>
  <si>
    <t>Actual instrument/PLC/IO/PSU inventory and local loss data; separate remote field equipment.</t>
  </si>
  <si>
    <t>Illustrative instrumentation cabinet: assumed 40 W instruments +30 W supplies +20 W IO +10 W fan =100 W local dissipation; field loads excluded. REQUIRED: Actual instrument/PLC/IO/PSU inventory and local loss data; separate remote field equipment.</t>
  </si>
  <si>
    <t>Industrial UPS — losses only</t>
  </si>
  <si>
    <t>Match Beckhoff CU8130-0240 industrial DC UPS. Maximum mains-operation loss with UPS charged. Small 220 W-output DIN-rail UPS. Published charging loss max1.45 W; discharge max22 W. Match operating mode. Zero latent requires no uncaptured moisture. Match room allocation and duty; count once.</t>
  </si>
  <si>
    <t>Maximum mains-operation loss with UPS charged</t>
  </si>
  <si>
    <t>Small 220 W-output DIN-rail UPS. Published charging loss max1.45 W; discharge max22 W. Match operating mode.</t>
  </si>
  <si>
    <t>Beckhoff CU8130-0240 industrial DC UPS — see source</t>
  </si>
  <si>
    <t>https://www.beckhoff.com/en-us/products/ipc/pcs/accessories/cu8130-0240.html</t>
  </si>
  <si>
    <t>Beckhoff CU8130-0240 industrial DC UPS</t>
  </si>
  <si>
    <t>Water treatment control panel</t>
  </si>
  <si>
    <t>NUMERIC EXAMPLE: 20 W (0.02 kW); EXISTING REFERENCE — scope/state limits apply. TO COMPLETE: Controller outputs and local losses plus installed dosing/pumping panel auxiliaries; exclude exported device power. Pool water-treatment controller example, not full dosing/pumping plant. Check exported output power and auxiliaries before summing. D/E remain unknown; use documented project inputs in Room worksheet I:M once resolved.</t>
  </si>
  <si>
    <t>Published controller consumption</t>
  </si>
  <si>
    <t>Pool water-treatment controller example, not full dosing/pumping plant. Check exported output power and auxiliaries before summing.</t>
  </si>
  <si>
    <t>Innowater Monitor Controller — source below</t>
  </si>
  <si>
    <t>https://www.innowater.com/en/control-dosing/monitor-controller/</t>
  </si>
  <si>
    <t>Innowater Monitor Controller (reference, not installed-model confirmation)</t>
  </si>
  <si>
    <t>Controller outputs and local losses plus installed dosing/pumping panel auxiliaries; exclude exported device power.</t>
  </si>
  <si>
    <t>Published controller consumption Pool water-treatment controller example, not full dosing/pumping plant. Check exported output power and auxiliaries before summing. This retains the original reference, including any unresolved source limitations; it is not newly validated net room heat. REQUIRED: Controller outputs and local losses plus installed dosing/pumping panel auxiliaries; exclude exported device power.</t>
  </si>
  <si>
    <t>Pump control panel</t>
  </si>
  <si>
    <t>NUMERIC EXAMPLE: 3 W (0.003 kW); EXISTING REFERENCE — scope/state limits apply. TO COMPLETE: Complete panel inventory and loss data; timer reference alone excludes other auxiliaries and pump output. Timer panel only; switched pump power is not controller loss. D/E remain unknown; use documented project inputs in Room worksheet I:M once resolved.</t>
  </si>
  <si>
    <t>Maximum published consumption</t>
  </si>
  <si>
    <t>Timer panel only; switched pump power is not controller loss.</t>
  </si>
  <si>
    <t>Intermatic T10604R panel with timer mechanisms — source below</t>
  </si>
  <si>
    <t>https://www.mx.intermatic.com/catalog/mx/solutions/pool-and-spa/pump-control/pool-and-spa-panels/t10604r</t>
  </si>
  <si>
    <t>Intermatic T10604R panel with timer mechanisms (reference, not installed-model confirmation)</t>
  </si>
  <si>
    <t>Complete panel inventory and loss data; timer reference alone excludes other auxiliaries and pump output.</t>
  </si>
  <si>
    <t>Maximum published consumption Timer panel only; switched pump power is not controller loss. This retains the original reference, including any unresolved source limitations; it is not newly validated net room heat. REQUIRED: Complete panel inventory and loss data; timer reference alone excludes other auxiliaries and pump output.</t>
  </si>
  <si>
    <t>Lift / elevator control cabinet</t>
  </si>
  <si>
    <t>USER-REQUESTED HYPOTHETICAL EXAMPLE: 1000 W (1 kW). Illustrative lift control cabinet: assumed 500 W drive loss +300 W braking-resistor heat +200 W controls/fan =1,000 W hourly average; motor/shaft heat excluded, trip/regeneration profile unverified. Assumed for illustration, not sourced or project-approved. Sensible/latent split unverified. TO COMPLETE: Actual lift drive/controller/brake configuration, trip duty and regeneration; machine-room heat allocation. Need elevator controller/drive/brake resistor configuration and duty; regenerated/exported energy and machine-room locations matter. Reference link is supporting method/product context only; no numeric room-heat value established. D/E remain unknown; use documented project inputs in Room worksheet I:M once resolved.</t>
  </si>
  <si>
    <t>Need elevator controller/drive/brake resistor configuration and duty; regenerated/exported energy and machine-room locations matter. Reference link is supporting method/product context only; no numeric room-heat value established.</t>
  </si>
  <si>
    <t>No installed model specified — Lift / elevator control cabinet — see source</t>
  </si>
  <si>
    <t>No installed model specified — Lift / elevator control cabinet</t>
  </si>
  <si>
    <t>Actual lift drive/controller/brake configuration, trip duty and regeneration; machine-room heat allocation.</t>
  </si>
  <si>
    <t>Illustrative lift control cabinet: assumed 500 W drive loss +300 W braking-resistor heat +200 W controls/fan =1,000 W hourly average; motor/shaft heat excluded, trip/regeneration profile unverified. REQUIRED: Actual lift drive/controller/brake configuration, trip duty and regeneration; machine-room heat allocation.</t>
  </si>
  <si>
    <t>School bell amplifier</t>
  </si>
  <si>
    <t>Match Yamaha MA2120 amplifier example. Idle low-impedance mode. Idle school-bell/PA amplifier example only. Active bell periods and distributed speaker power require separate energy allocation; same amplifier may already be counted under PA. DO NOT use for active-operation hours. Zero latent requires no uncaptured moisture. Match room allocation and duty; count once.</t>
  </si>
  <si>
    <t>Idle low-impedance mode</t>
  </si>
  <si>
    <t>Idle school-bell/PA amplifier example only. Active bell periods and distributed speaker power require separate energy allocation; same amplifier may already be counted under PA.</t>
  </si>
  <si>
    <t>Yamaha MA2120 amplifier example — see source</t>
  </si>
  <si>
    <t>Yamaha MA2120 amplifier example</t>
  </si>
  <si>
    <t>Laboratory power supply</t>
  </si>
  <si>
    <t>Match Kikusui PAD 35-10L bench DC supply — historical measured example. No-load heat estimate — output set to 5 V, nothing connected. PIC-CONTROL reports 15.2 W mains draw at 5 V open circuit. With no exported DC power, approximately 15.2 W becomes local heat. Single-unit portable-meter observation, not manufacturer-certified or loaded-operation average. Add experimental-load heat separately when connected. Same reference as the other PSU row; count each physical supply once. DO NOT use for active-operation hours. Zero latent requires no uncaptured moisture. Match room allocation and duty; count once.</t>
  </si>
  <si>
    <t>No-load heat estimate — output set to 5 V, nothing connected</t>
  </si>
  <si>
    <t>PIC-CONTROL reports 15.2 W mains draw at 5 V open circuit. With no exported DC power, approximately 15.2 W becomes local heat. Single-unit portable-meter observation, not manufacturer-certified or loaded-operation average. Add experimental-load heat separately when connected. Same reference as the other PSU row; count each physical supply once.</t>
  </si>
  <si>
    <t>PIC-CONTROL / Lim Siong Boon — Energy Audit with a portable power meter, bench PSU measurement</t>
  </si>
  <si>
    <t>https://www.pic-control.com/energy-audit-with-a-portable-power-meter/</t>
  </si>
  <si>
    <t>Kikusui PAD 35-10L bench DC supply — historical measured example</t>
  </si>
  <si>
    <t>Electronic voting system</t>
  </si>
  <si>
    <t>NUMERIC EXAMPLE: 3.7 W (0.0037 kW); EXISTING REFERENCE — scope/state limits apply. TO COMPLETE: Number of voting terminals and central equipment/supply losses; room-by-room location and duplicate PoE/power checks. 3.70 W is for ONE discussion/voting terminal, not a complete voting installation. Conditional eventual sensible heat if all terminal power is released locally. Add separately located central equipment and supply/cable losses only where they occur, using actual quantities. Do not count terminal consumption again within a network-power total. D/E remain unknown; use documented project inputs in Room worksheet I:M once resolved.</t>
  </si>
  <si>
    <t>Published per-device electrical consumption; controller/network supply separate</t>
  </si>
  <si>
    <t>3.70 W is for ONE discussion/voting terminal, not a complete voting installation. Conditional eventual sensible heat if all terminal power is released locally. Add separately located central equipment and supply/cable losses only where they occur, using actual quantities. Do not count terminal consumption again within a network-power total.</t>
  </si>
  <si>
    <t>Bosch DICENTIS DCNM-DVT discussion device with voting — one delegate unit — see source</t>
  </si>
  <si>
    <t>https://cdn.commerce.boschsecurity.com/public/documents/DCNM_DVT_Data_sheet_enUS_9007222686477195.pdf</t>
  </si>
  <si>
    <t>Bosch DICENTIS DCNM-DVT discussion device with voting — one delegate unit</t>
  </si>
  <si>
    <t>Number of voting terminals and central equipment/supply losses; room-by-room location and duplicate PoE/power checks.</t>
  </si>
  <si>
    <t>Published per-device electrical consumption; controller/network supply separate 3.70 W is for ONE discussion/voting terminal, not a complete voting installation. Conditional eventual sensible heat if all terminal power is released locally. Add separately located central equipment and supply/cable losses only where they occur, using actual quantities. Do not count terminal consumption again within a network-power total. This retains the original reference, including any unresolved source limitations; it is not newly validated net room heat. REQUIRED: Number of voting terminals and central equipment/supply losses; room-by-room location and duplicate PoE/power checks.</t>
  </si>
  <si>
    <t>Language laboratory headset charging station</t>
  </si>
  <si>
    <t>USER-REQUESTED HYPOTHETICAL EXAMPLE: 20 W (0.02 kW). Illustrative twenty-headset station: assumed 1 W local charger/battery loss per headset ×20 =20 W; stored energy excluded. Assumed for illustration, not sourced or project-approved. Sensible/latent split unverified. TO COMPLETE: Headset and charger models, count and battery states; local charging and adapter losses. Need headset count, charger losses and battery states; microphone rack specifications are not a language-headset station. Reference link is supporting method/product context only; no numeric room-heat value established. D/E remain unknown; use documented project inputs in Room worksheet I:M once resolved.</t>
  </si>
  <si>
    <t>Need headset count, charger losses and battery states; microphone rack specifications are not a language-headset station. Reference link is supporting method/product context only; no numeric room-heat value established.</t>
  </si>
  <si>
    <t>No installed model specified — Language laboratory headset charging station — see source</t>
  </si>
  <si>
    <t>No installed model specified — Language laboratory headset charging station</t>
  </si>
  <si>
    <t>Headset and charger models, count and battery states; local charging and adapter losses.</t>
  </si>
  <si>
    <t>Illustrative twenty-headset station: assumed 1 W local charger/battery loss per headset ×20 =20 W; stored energy excluded. REQUIRED: Headset and charger models, count and battery states; local charging and adapter losses.</t>
  </si>
  <si>
    <t>Classroom document scanner</t>
  </si>
  <si>
    <t>Match Brother ADS-2800W (example; not installed-model confirmation). Operating; Japanese 100 V product specification. Sleep 1.9 W. Reference regional model; confirm Australian variant. Heat estimate assumes input energy is ultimately retained as sensible heat in the zone; no intentional moisture source. Zero latent requires no uncaptured moisture. Match room allocation and duty; count once.</t>
  </si>
  <si>
    <t>Operating; Japanese 100 V product specification</t>
  </si>
  <si>
    <t>Sleep 1.9 W. Reference regional model; confirm Australian variant. Heat estimate assumes input energy is ultimately retained as sensible heat in the zone; no intentional moisture source.</t>
  </si>
  <si>
    <t>Brother ADS-2800W — manufacturer specification</t>
  </si>
  <si>
    <t>https://www.brother.co.jp/product/scanner/ads2800w/spec/index.aspx</t>
  </si>
  <si>
    <t>Brother ADS-2800W (example; not installed-model confirmation)</t>
  </si>
  <si>
    <t>Robotics teaching kit charging station</t>
  </si>
  <si>
    <t>USER-REQUESTED HYPOTHETICAL EXAMPLE: 50 W (0.05 kW). Illustrative ten-kit robotics station: assumed 5 W local charger/battery loss per kit ×10 =50 W; stored energy excluded. Assumed for illustration, not sourced or project-approved. Sensible/latent split unverified. TO COMPLETE: Robot kit batteries, chargers, quantities and charging duty; stored battery energy excluded from immediate heat. Need teaching-kit battery/charger model and quantities; charging output is stored energy, not immediate room heat. Reference link is supporting method/product context only; no numeric room-heat value established. D/E remain unknown; use documented project inputs in Room worksheet I:M once resolved.</t>
  </si>
  <si>
    <t>Need teaching-kit battery/charger model and quantities; charging output is stored energy, not immediate room heat. Reference link is supporting method/product context only; no numeric room-heat value established.</t>
  </si>
  <si>
    <t>No installed model specified — Robotics teaching kit charging station — see source</t>
  </si>
  <si>
    <t>No installed model specified — Robotics teaching kit charging station</t>
  </si>
  <si>
    <t>Robot kit batteries, chargers, quantities and charging duty; stored battery energy excluded from immediate heat.</t>
  </si>
  <si>
    <t>Illustrative ten-kit robotics station: assumed 5 W local charger/battery loss per kit ×10 =50 W; stored energy excluded. REQUIRED: Robot kit batteries, chargers, quantities and charging duty; stored battery energy excluded from immediate heat.</t>
  </si>
  <si>
    <t>Educational robotics controller</t>
  </si>
  <si>
    <t>Match Universal Robots UR3e/UR5e OEM control box — example for teaching automation. Manufacturer maximum controller heat dissipation. OEM control-box table gives 100 W maximum for UR3e/UR5e. Controller only: excludes robot arm, gripper, conveyor and other teaching-cell equipment. Not a typical classroom average or specification for every controller enclosure. Confirm OEM variant; do not add this to a whole-robot input allowance. Zero latent requires no uncaptured moisture. Match room allocation and duty; count once.</t>
  </si>
  <si>
    <t>Manufacturer maximum controller heat dissipation</t>
  </si>
  <si>
    <t>OEM control-box table gives 100 W maximum for UR3e/UR5e. Controller only: excludes robot arm, gripper, conveyor and other teaching-cell equipment. Not a typical classroom average or specification for every controller enclosure. Confirm OEM variant; do not add this to a whole-robot input allowance.</t>
  </si>
  <si>
    <t>Universal Robots — OEM Control Box Specifications, Control Unit Heat Dissipation</t>
  </si>
  <si>
    <t>https://www.universal-robots.com/manuals/EN/HTML/SW5_25/Content/prod_oem_cb_all/oem_cb_all_specs_root.htm</t>
  </si>
  <si>
    <t>Not specified — output power is separate</t>
  </si>
  <si>
    <t>Universal Robots UR3e/UR5e OEM control box — example for teaching automation</t>
  </si>
  <si>
    <t>CNC teaching machine</t>
  </si>
  <si>
    <t>Electronics teaching workbench</t>
  </si>
  <si>
    <t>NUMERIC EXAMPLE: 83 W (0.083 kW); EXISTING REFERENCE — scope/state limits apply. TO COMPLETE: Actual bench inventory and simultaneous operating state; replace mixed-average/peak component subtotal with a consistent load basis. Explicit illustrative subtotal: ASHRAE 2025 Ch18 laboratory table, 72 W-nameplate oscilloscope 38 W average + function generator 29 W average; miscellaneous equipment table soldering station 16 W peak 15-minute heat = 83 W. Mixed test bases, not a measured simultaneous bench load. Excludes computer, power supplies, test circuits, extraction and occupants; do not count component rows again. D/E remain unknown; use documented project inputs in Room worksheet I:M once resolved.</t>
  </si>
  <si>
    <t>Reference component subtotal, not complete bench</t>
  </si>
  <si>
    <t>Explicit illustrative subtotal: ASHRAE 2025 Ch18 laboratory table, 72 W-nameplate oscilloscope 38 W average + function generator 29 W average; miscellaneous equipment table soldering station 16 W peak 15-minute heat = 83 W. Mixed test bases, not a measured simultaneous bench load. Excludes computer, power supplies, test circuits, extraction and occupants; do not count component rows again.</t>
  </si>
  <si>
    <t>Illustrative bench: one oscilloscope, one function generator, one soldering station — source below</t>
  </si>
  <si>
    <t>Mixed reference equipment; see basis</t>
  </si>
  <si>
    <t>Illustrative bench: one oscilloscope, one function generator, one soldering station</t>
  </si>
  <si>
    <t>Actual bench inventory and simultaneous operating state; replace mixed-average/peak component subtotal with a consistent load basis.</t>
  </si>
  <si>
    <t>Reference component subtotal, not complete bench Explicit illustrative subtotal: ASHRAE 2025 Ch18 laboratory table, 72 W-nameplate oscilloscope 38 W average + function generator 29 W average; miscellaneous equipment table soldering station 16 W peak 15-minute heat = 83 W. Mixed test bases, not a measured simultaneous bench load. Excludes computer, power supplies, test circuits, extraction and occupants; do not count component rows again. This retains the original reference, including any unresolved source limitations; it is not newly validated net room heat. REQUIRED: Actual bench inventory and simultaneous operating state; replace mixed-average/peak component subtotal with a consistent load basis.</t>
  </si>
  <si>
    <t>Chemistry hotplate</t>
  </si>
  <si>
    <t>NUMERIC EXAMPLE: 650 W (0.65 kW); ELECTRICAL INPUT — not established room heat. TO COMPLETE: Hotplate process temperature/duty, vessel, evaporation and hood capture; net local sensible/latent release. Room heat depends on vessel, evaporation, extraction and duty cycle. Electrical rating is not a room gain. D/E remain unknown; use documented project inputs in Room worksheet I:M once resolved.</t>
  </si>
  <si>
    <t>Room heat depends on vessel, evaporation, extraction and duty cycle. Electrical rating is not a room gain.</t>
  </si>
  <si>
    <t>Hotplate process temperature/duty, vessel, evaporation and hood capture; net local sensible/latent release.</t>
  </si>
  <si>
    <t>Existing electrical reference for Chemistry hotplate: 650 W. Room heat depends on vessel, evaporation, extraction and duty cycle. Electrical rating is not a room gain. This is not a measured sensible/latent room load. Only a closed energy balance can justify equating it to eventual total heat; external steam, refrigerant, fluid, work, storage and exhaust can change that result. REQUIRED: Hotplate process temperature/duty, vessel, evaporation and hood capture; net local sensible/latent release.</t>
  </si>
  <si>
    <t>Physics demonstration power supply</t>
  </si>
  <si>
    <t>Digital microscope</t>
  </si>
  <si>
    <t>Match Nikon ECLIPSE Ui digital imaging microscope (reference, not installed-model confirmation). Maximum consumption. Main microscope body only; external monitor separate. Larger laboratory example, not a small USB microscope. Zero latent requires no uncaptured moisture. Match room allocation and duty; count once.</t>
  </si>
  <si>
    <t>Maximum consumption</t>
  </si>
  <si>
    <t>Main microscope body only; external monitor separate. Larger laboratory example, not a small USB microscope.</t>
  </si>
  <si>
    <t>Nikon ECLIPSE Ui digital imaging microscope — source below</t>
  </si>
  <si>
    <t>https://www.microscope.healthcare.nikon.com/en_EU/products/digital-microscopes/eclipse-ui/specifications</t>
  </si>
  <si>
    <t>Nikon ECLIPSE Ui digital imaging microscope (reference, not installed-model confirmation)</t>
  </si>
  <si>
    <t>Music keyboard</t>
  </si>
  <si>
    <t>Match Yamaha PSR-E383 (example; not installed-model confirmation). With PA-130 AC adaptor. Published input consumption, includes built-in audio. External sound system separate. Heat estimate assumes input energy is ultimately retained as sensible heat in the zone; no intentional moisture source. Zero latent requires no uncaptured moisture. Match room allocation and duty; count once.</t>
  </si>
  <si>
    <t>With PA-130 AC adaptor</t>
  </si>
  <si>
    <t>Published input consumption, includes built-in audio. External sound system separate. Heat estimate assumes input energy is ultimately retained as sensible heat in the zone; no intentional moisture source.</t>
  </si>
  <si>
    <t>Yamaha PSR-E383 — manufacturer specification</t>
  </si>
  <si>
    <t>https://usa.yamaha.com/products/musical_instruments/keyboards/portable_keyboards/psr-e383/specs.html</t>
  </si>
  <si>
    <t>Yamaha PSR-E383 (example; not installed-model confirmation)</t>
  </si>
  <si>
    <t>Digital piano</t>
  </si>
  <si>
    <t>Match Yamaha P-145 (example; not installed-model confirmation). With PA-150 adaptor. Specific P-145, not P-145BT. Includes built-in speakers. Heat estimate assumes input energy is ultimately retained as sensible heat in the zone; no intentional moisture source. Zero latent requires no uncaptured moisture. Match room allocation and duty; count once.</t>
  </si>
  <si>
    <t>With PA-150 adaptor</t>
  </si>
  <si>
    <t>Specific P-145, not P-145BT. Includes built-in speakers. Heat estimate assumes input energy is ultimately retained as sensible heat in the zone; no intentional moisture source.</t>
  </si>
  <si>
    <t>Yamaha P-145 — manufacturer specification</t>
  </si>
  <si>
    <t>https://nl.yamaha.com/files/download/other_assets/3/2144473/P-145_owners_manual_En_C0.pdf</t>
  </si>
  <si>
    <t>Yamaha P-145 (example; not installed-model confirmation)</t>
  </si>
  <si>
    <t>Electronic drum kit</t>
  </si>
  <si>
    <t>30 W sensible estimate for Roland TD-50X with passive trigger pads and passive headphones; internal AC supply included. All electrical energy assumed to dissipate in this room; no moisture source. This is rated consumption, not a measured typical heat value. Powered speakers, computer and player body heat are separate. Not the previous TD-17; exclude externally powered accessories from this configuration.</t>
  </si>
  <si>
    <t>Manufacturer 30 W power consumption; conditional same-room sensible inference</t>
  </si>
  <si>
    <t>Roland TD-50X technical specifications — Power Consumption 30 W</t>
  </si>
  <si>
    <t>https://www.roland.com/mx/products/TD-50X/</t>
  </si>
  <si>
    <t>Roland TD-50X with passive pads/headphones only; internal mains supply</t>
  </si>
  <si>
    <t>Recording studio audio interface</t>
  </si>
  <si>
    <t>Match Tascam Studio Bridge (reference, not installed-model confirmation). Published 100–240 V consumption. 24-track recorder/interface example; computer and external audio equipment separate. Zero latent requires no uncaptured moisture. Match room allocation and duty; count once.</t>
  </si>
  <si>
    <t>Published 100–240 V consumption</t>
  </si>
  <si>
    <t>24-track recorder/interface example; computer and external audio equipment separate.</t>
  </si>
  <si>
    <t>Tascam Studio Bridge — source below</t>
  </si>
  <si>
    <t>https://www.tascam.eu/en/studio_bridge</t>
  </si>
  <si>
    <t>Tascam Studio Bridge (reference, not installed-model confirmation)</t>
  </si>
  <si>
    <t>Practice-room digital amplifier</t>
  </si>
  <si>
    <t>Match Yamaha THR10II (example; not installed-model confirmation). Published consumption, non-wireless model. Not the 22 W Wireless model; audio output rating is a different quantity. Heat estimate assumes input energy is ultimately retained as sensible heat in the zone; no intentional moisture source. Zero latent requires no uncaptured moisture. Match room allocation and duty; count once.</t>
  </si>
  <si>
    <t>Published consumption, non-wireless model</t>
  </si>
  <si>
    <t>Not the 22 W Wireless model; audio output rating is a different quantity. Heat estimate assumes input energy is ultimately retained as sensible heat in the zone; no intentional moisture source.</t>
  </si>
  <si>
    <t>Yamaha THR10II — manufacturer specification</t>
  </si>
  <si>
    <t>https://ph.yamaha.com/en/download/files/2080208</t>
  </si>
  <si>
    <t>Yamaha THR10II (example; not installed-model confirmation)</t>
  </si>
  <si>
    <t>Library self-service borrowing kiosk</t>
  </si>
  <si>
    <t>Match Bibliotheca selfCheck1000. Published240 V/50 Hz supply consumption specification. Manufacturer brochure hosted by supplier. Eventual sensible estimate; typical/peak state not identified. Integrated screen/reader included; avoid counting separately. Zero latent requires no uncaptured moisture. Match room allocation and duty; count once.</t>
  </si>
  <si>
    <t>Published240 V/50 Hz supply consumption specification</t>
  </si>
  <si>
    <t>Manufacturer brochure hosted by supplier. Eventual sensible estimate; typical/peak state not identified. Integrated screen/reader included; avoid counting separately.</t>
  </si>
  <si>
    <t>Bibliotheca selfCheck1000 — see source</t>
  </si>
  <si>
    <t>https://www.bibliotheken-service.at/assets/pdf/selbstverbuchung/selfCheck_1000_brochure.pdf</t>
  </si>
  <si>
    <t>Bibliotheca selfCheck1000</t>
  </si>
  <si>
    <t>Library book sorter</t>
  </si>
  <si>
    <t>USER-REQUESTED HYPOTHETICAL EXAMPLE: 500 W (0.5 kW). Illustrative book sorter: assumed five modules each dissipating 100 W =500 W; actual module count, book throughput and duty must replace the example. Assumed for illustration, not sourced or project-approved. Sensible/latent split unverified. TO COMPLETE: Actual sorter modules/drives, layout and books/hour; power in idle/sorting states and mechanical heat destination. Need sorter module/drive count, layout and books/hour. Modular library sorter has no single configuration-independent load. Reference link is supporting method/product context only; no numeric room-heat value established. D/E remain unknown; use documented project inputs in Room worksheet I:M once resolved.</t>
  </si>
  <si>
    <t>Need sorter module/drive count, layout and books/hour. Modular library sorter has no single configuration-independent load. Reference link is supporting method/product context only; no numeric room-heat value established.</t>
  </si>
  <si>
    <t>No installed model specified — Library book sorter — see source</t>
  </si>
  <si>
    <t>https://lyngsoesystems.com/library/automated-material-handling/lyngsoe-sort-mate-2000</t>
  </si>
  <si>
    <t>No installed model specified — Library book sorter</t>
  </si>
  <si>
    <t>Actual sorter modules/drives, layout and books/hour; power in idle/sorting states and mechanical heat destination.</t>
  </si>
  <si>
    <t>Illustrative book sorter: assumed five modules each dissipating 100 W =500 W; actual module count, book throughput and duty must replace the example. REQUIRED: Actual sorter modules/drives, layout and books/hour; power in idle/sorting states and mechanical heat destination.</t>
  </si>
  <si>
    <t>Automated book return machine</t>
  </si>
  <si>
    <t>Match Cirfid Ci-R41 library borrowing/return kiosk. Manufacturer published100 W consumption. Electronic borrowing/return kiosk example including reader/screen; not a conveyor sorter or book-bin handling system. Typical/maximum state unspecified. Eventual sensible estimate inside room. Zero latent requires no uncaptured moisture. Match room allocation and duty; count once.</t>
  </si>
  <si>
    <t>Manufacturer published100 W consumption</t>
  </si>
  <si>
    <t>Electronic borrowing/return kiosk example including reader/screen; not a conveyor sorter or book-bin handling system. Typical/maximum state unspecified. Eventual sensible estimate inside room.</t>
  </si>
  <si>
    <t>Cirfid Ci-R41 library borrowing/return kiosk — see source</t>
  </si>
  <si>
    <t>https://www.cirfid.com/products/ci-r41-hf-library-self-service-kiosk</t>
  </si>
  <si>
    <t>Cirfid Ci-R41 library borrowing/return kiosk</t>
  </si>
  <si>
    <t>3D printing farm</t>
  </si>
  <si>
    <t>CONDITIONAL — defined ten-printer example</t>
  </si>
  <si>
    <t>800 W sensible / 0 W latent is a derived average example: ten Prusa MK-series printers × published 80 W each printing generic PLA at 26°C. Use only for this stated configuration with all electrical/process energy ultimately dissipating locally, negligible net heat storage/export and no significant moisture release. It is NOT a warm-up peak or a universal farm load. Actual MK variant and workload need matching/measurement. Separately include dryers, PCs and ventilation; count either the ten printers or this farm once. Quantity in Room worksheet means number of ten-printer groups.</t>
  </si>
  <si>
    <t>Defined example: 10 × 80 W average PLA printing at 26°C; not peak or installed quantity.</t>
  </si>
  <si>
    <t>Prusa Research — FAQ, ‘What is the power consumption of a PRUSA printer?’; accessed 19 Oct 2026</t>
  </si>
  <si>
    <t>https://help.prusa3d.com/article/faq-frequently-asked-questions_1932</t>
  </si>
  <si>
    <t>Illustrative farm: 10 Prusa MK-series printers printing PLA</t>
  </si>
  <si>
    <t>Science laboratory extraction controller</t>
  </si>
  <si>
    <t>NUMERIC EXAMPLE: 20 W (0.02 kW); EXISTING REFERENCE — scope/state limits apply. TO COMPLETE: Manufacturer-confirmed FHC12 package boundary and real local loss; external actuator/PSU and exhaust allocation separately. 24 VDC version lists 20 W maximum. Treat as an upper local sensible-heat allowance if all consumed energy remains in the room; not measured typical heat. Controller package boundary must be confirmed. External PSU losses, actuator, lights and fan separate; do not add powered peripherals twice. 40 VA AC version is not 40 W. D/E remain unknown; use documented project inputs in Room worksheet I:M once resolved.</t>
  </si>
  <si>
    <t>Conditional upper heat allowance from maximum DC input</t>
  </si>
  <si>
    <t>24 VDC version lists 20 W maximum. Treat as an upper local sensible-heat allowance if all consumed energy remains in the room; not measured typical heat. Controller package boundary must be confirmed. External PSU losses, actuator, lights and fan separate; do not add powered peripherals twice. 40 VA AC version is not 40 W.</t>
  </si>
  <si>
    <t>XICHENG — FHC12 Fume Hood VAV Controller, Key Specifications</t>
  </si>
  <si>
    <t>https://xicheng-lab.com/product/fume-hood-controller-external-actuator/</t>
  </si>
  <si>
    <t>XICHENG FHC12 external-actuator fume-hood controller — 24 VDC version</t>
  </si>
  <si>
    <t>Manufacturer-confirmed FHC12 package boundary and real local loss; external actuator/PSU and exhaust allocation separately.</t>
  </si>
  <si>
    <t>Conditional upper heat allowance from maximum DC input 24 VDC version lists 20 W maximum. Treat as an upper local sensible-heat allowance if all consumed energy remains in the room; not measured typical heat. Controller package boundary must be confirmed. External PSU losses, actuator, lights and fan separate; do not add powered peripherals twice. 40 VA AC version is not 40 W. This retains the original reference, including any unresolved source limitations; it is not newly validated net room heat. REQUIRED: Manufacturer-confirmed FHC12 package boundary and real local loss; external actuator/PSU and exhaust allocation separately.</t>
  </si>
  <si>
    <t>Archie • equipment heat reference</t>
  </si>
  <si>
    <t>A practical source-backed library for estimating internal gains — not engineering-approved calculator defaults.</t>
  </si>
  <si>
    <t>Use this tab</t>
  </si>
  <si>
    <t>Purpose</t>
  </si>
  <si>
    <t>Important distinction</t>
  </si>
  <si>
    <t>Approximate heat gains</t>
  </si>
  <si>
    <t>442 equipment and operating-state entries</t>
  </si>
  <si>
    <t>442 entries: 298 conditional numerical examples, 141 blocked and 3 preliminary assumptions. Conditional is not engineering approval. Use D/E only after matching the model, state and adjacent conditions; G/H are references, not automatically room heat.</t>
  </si>
  <si>
    <t>12 cabinet/system entries + heat-balance guidance</t>
  </si>
  <si>
    <t>Daily energy averages are not design peaks.</t>
  </si>
  <si>
    <t>Room worksheet</t>
  </si>
  <si>
    <t>Linked equipment-selection worksheet</t>
  </si>
  <si>
    <t>Choose one room/design hour; quantities and conditions are job inputs. Blocked or incomplete selections prevent the subtotal.</t>
  </si>
  <si>
    <t>Start here</t>
  </si>
  <si>
    <t>Methods, definitions and evidence rules</t>
  </si>
  <si>
    <t>Every record remains reference-only.</t>
  </si>
  <si>
    <t>Topic</t>
  </si>
  <si>
    <t>How to use the reference</t>
  </si>
  <si>
    <t>What the numbers describe</t>
  </si>
  <si>
    <t>Some are measured heat gains; others are input ratings or mode power. The evidence and heat-interpretation columns distinguish them.</t>
  </si>
  <si>
    <t>Small / medium / large PCs</t>
  </si>
  <si>
    <t>Labels organise specific examples, not standard size bands. Workload and GPU configuration matter more than case dimensions.</t>
  </si>
  <si>
    <t>Electrical W → thermal W</t>
  </si>
  <si>
    <t>For steady electronics wholly inside the room, real electrical power approximately becomes sensible heat there. Stored/exported energy changes this.</t>
  </si>
  <si>
    <t>Lightbulbs</t>
  </si>
  <si>
    <t>Light absorbed by surfaces eventually becomes heat. “60 W equivalent” is brightness marketing; use actual watts including driver losses.</t>
  </si>
  <si>
    <t>Sensible versus latent</t>
  </si>
  <si>
    <t>Sensible warms the space; latent adds moisture to remove. Electronics have no intended moisture source; cooking and steam require a split.</t>
  </si>
  <si>
    <t>Instantaneous versus delayed</t>
  </si>
  <si>
    <t>Heat deposited in surfaces may reach room air later. This library estimates gains; a cooling-load model must account for timing.</t>
  </si>
  <si>
    <t>Heating design</t>
  </si>
  <si>
    <t>Internal gains can offset heating when present. Do not assume intermittent computers or lights are available during the heating design condition.</t>
  </si>
  <si>
    <t>Watts and kilowatts</t>
  </si>
  <si>
    <t>1 kW = 1,000 W. kW is a rate; kWh is energy. A 0.1 kW load for 8 hours uses 0.8 kWh.</t>
  </si>
  <si>
    <t>Daily energy labels</t>
  </si>
  <si>
    <t>Average electrical kW = daily kWh / 24. For annual labels use annual kWh / hours represented (8,760 for 365 days).</t>
  </si>
  <si>
    <t>Nameplate versus use</t>
  </si>
  <si>
    <t>A PSU or adapter capacity is not measured consumption. Avoid summing CPU/GPU TDP with whole-device measured power.</t>
  </si>
  <si>
    <t>Operating schedules</t>
  </si>
  <si>
    <t>Use the selected design hour. A boiling kettle is not continuously on; a server may run overnight. No schedule has been assumed here.</t>
  </si>
  <si>
    <t>Factors without duplication</t>
  </si>
  <si>
    <t>If power is already an hourly average, do not reduce it again for the same duty cycle. Keep coincidence distinct from individual duty.</t>
  </si>
  <si>
    <t>Kitchen appliances</t>
  </si>
  <si>
    <t>Heating input may leave via hood exhaust, hot food, water or steam. No fixed sensible/latent fraction is assigned without evidence.</t>
  </si>
  <si>
    <t>Use the separate tab before entering any fridge value. Condenser location determines which space receives the rejected heat.</t>
  </si>
  <si>
    <t>Evidence preference</t>
  </si>
  <si>
    <t>Specific vendor heat-to-space data or representative real-power measurement first; generic historic tables only as scoped preliminary references.</t>
  </si>
  <si>
    <t>Australian applicability</t>
  </si>
  <si>
    <t>AU sources are identified. Historic overseas data are examples, not NCC requirements or Australian design defaults.</t>
  </si>
  <si>
    <t>Measurement task</t>
  </si>
  <si>
    <t>Record model, quantity, real watts, operating mode and interval, then observe representative use. A competent person should measure hardwired loads.</t>
  </si>
  <si>
    <t>Information to capture</t>
  </si>
  <si>
    <t>Record room, model/configuration, heat destination, schedule, power source, source date, assumptions, and reviewer decision.</t>
  </si>
  <si>
    <t>AI usage</t>
  </si>
  <si>
    <t>AI can identify candidate equipment and retrieve evidence. It must not silently choose a model, set duty, invent watts or release these rows.</t>
  </si>
  <si>
    <t>No source-pack integration</t>
  </si>
  <si>
    <t>This standalone workbook does not modify Max, source packs, Drawing 6, any PDF, project cache or report.</t>
  </si>
  <si>
    <t>Unknown is not zero</t>
  </si>
  <si>
    <t>Blank numerical cells mean model-specific evidence is still needed. They must not be read as zero heat.</t>
  </si>
  <si>
    <t>Review state</t>
  </si>
  <si>
    <t>Reference only. No credentials, approvals, release decisions, or project-specific equipment inventory are asserted.</t>
  </si>
  <si>
    <t>Method references (retrieved 12 October 2026)</t>
  </si>
  <si>
    <t>Cooling gain/load distinction</t>
  </si>
  <si>
    <t>ASHRAE 2017 Fundamentals, ch.18 §§1–2</t>
  </si>
  <si>
    <t>Heating treatment</t>
  </si>
  <si>
    <t>CIBSE Journal, Module 95</t>
  </si>
  <si>
    <t>https://www.cibsejournal.com/cpd/modules/2016-06-boil/</t>
  </si>
  <si>
    <t>AU model energy lookup</t>
  </si>
  <si>
    <t>Australian Government Energy Rating</t>
  </si>
  <si>
    <t>https://calculator.energyrating.gov.au/FridgeDetail.aspx</t>
  </si>
  <si>
    <t>Source dates vary. Manufacturer examples are not a complete current-market survey.</t>
  </si>
  <si>
    <t>Expanded library — reliability rules</t>
  </si>
  <si>
    <t>Applied 13 October 2026; examples remain unapproved references.</t>
  </si>
  <si>
    <t>Three separate quantities</t>
  </si>
  <si>
    <t>K: electrical input; L: sensible heat to room; M: latent heat to room. C/D retain earlier reference examples and are not automatically classified as sensible or total.</t>
  </si>
  <si>
    <t>Unknown fields</t>
  </si>
  <si>
    <t>Needs data / Needs classification means unresolved, not zero. Do not total unresolved records as if they contributed nothing.</t>
  </si>
  <si>
    <t>Operating variants</t>
  </si>
  <si>
    <t>Column U lists states/subtypes to assess, not simultaneous additional equipment. Select the actual mode, duty and configuration.</t>
  </si>
  <si>
    <t>High-density computing</t>
  </si>
  <si>
    <t>Prioritise configuration-specific manufacturer heat rejection or measured real power; identify liquid-cooled heat leaving the room.</t>
  </si>
  <si>
    <t>Refrigeration location</t>
  </si>
  <si>
    <t>Record compressor and condenser location separately in S, including remote cooling circuits and which space receives each heat flow.</t>
  </si>
  <si>
    <t>Electrical distribution</t>
  </si>
  <si>
    <t>Transformers, switchboards, PDUs, UPSs and drives contribute losses, not their full electrical throughput.</t>
  </si>
  <si>
    <t>Existing load allowances</t>
  </si>
  <si>
    <t>Check V before including R: residential allowances, fan calculations, cold-room calculations, rack totals and component totals can overlap.</t>
  </si>
  <si>
    <t>Confidence and model</t>
  </si>
  <si>
    <t>Manufacturer/model and source evidence are separate from project acceptance. A documented example does not establish installed equipment.</t>
  </si>
  <si>
    <t>Prioritise reliability next</t>
  </si>
  <si>
    <t>Resolve model, operating state, electrical input, sensible/latent rejection and schedule for likely project equipment before expanding the taxonomy further.</t>
  </si>
  <si>
    <t>User-requested numerical examples — 19 October 2026</t>
  </si>
  <si>
    <t>Added AA:AD to the first tab, covering all442 items. For the144 unresolved rows:35 explicitly hypothetical scenarios,35 existing electrical-input figures,71 existing references (some partial or gross rejection) and3 prior preliminary allowances. Hypothetical quantities, power and efficiencies are selected assumptions, not sourced typical values. Conditions appear in F and AD. Existing298 conditional D/E pairs remain unchanged; blocked rows have not been automatically enabled in Room worksheet. Numeric presence is not evidence of complete room heat or engineering approval. No screenshots/screen access used.</t>
  </si>
  <si>
    <t>Equipment entries</t>
  </si>
  <si>
    <t>Conditional calculation entries</t>
  </si>
  <si>
    <t>Blocked entries</t>
  </si>
  <si>
    <t>Preliminary assumptions only</t>
  </si>
  <si>
    <t>Which columns to use</t>
  </si>
  <si>
    <t>D/E remain conditional sensible/latent inputs. AA/AB provide a number for every item, but AC/AD explain whether it is a heat example, electrical input, partial reference or hypothetical scenario. Do not sum mixed reference types as a room load. F repeats the special requirements.</t>
  </si>
  <si>
    <t>Configured assemblies</t>
  </si>
  <si>
    <t>Original basis/model fields are now I/J/S. Count matched components once; component-only references are not complete cabinet/rack totals.</t>
  </si>
  <si>
    <t>Charging and process loads</t>
  </si>
  <si>
    <t>Obtain real input, energy stored/exported and heat released locally. Battery charging, hot water, exhaust and mechanical work prevent treating the full input as immediate room heat.</t>
  </si>
  <si>
    <t>Evidence conflicts</t>
  </si>
  <si>
    <t>Do not convert VA to W without real-power evidence. Milli-Q IQ 7000 publications disagree on W versus VA; that record remains unresolved pending clarification.</t>
  </si>
  <si>
    <t>Fridges, freezers and heat location</t>
  </si>
  <si>
    <t>Condenser heat, net room heat and electrical input are different quantities. Numeric entries below are reference examples only.</t>
  </si>
  <si>
    <t>Daily energy ÷ 24 gives average electrical kW under the source test, NOT peak condenser rejection or a cooling-design allowance.</t>
  </si>
  <si>
    <t>ID</t>
  </si>
  <si>
    <t>Equipment</t>
  </si>
  <si>
    <t>Size / configuration</t>
  </si>
  <si>
    <t>Value low</t>
  </si>
  <si>
    <t>Value high</t>
  </si>
  <si>
    <t>Source unit / basis</t>
  </si>
  <si>
    <t>Converted low kW</t>
  </si>
  <si>
    <t>Converted high kW</t>
  </si>
  <si>
    <t>What it means</t>
  </si>
  <si>
    <t>Missing design information</t>
  </si>
  <si>
    <t>Source / locator</t>
  </si>
  <si>
    <t>Source URL</t>
  </si>
  <si>
    <t>Review status</t>
  </si>
  <si>
    <t>R01</t>
  </si>
  <si>
    <t>Mini fridge</t>
  </si>
  <si>
    <t>88 L sample</t>
  </si>
  <si>
    <t>W; tested peak</t>
  </si>
  <si>
    <t>Reported heat-gain example</t>
  </si>
  <si>
    <t>Identify cabinet/condenser boundary and test applicability</t>
  </si>
  <si>
    <t>ASHRAE, 2017 Fundamentals ch.18, Tables 8–10</t>
  </si>
  <si>
    <t>Reference only — not released</t>
  </si>
  <si>
    <t>R02</t>
  </si>
  <si>
    <t>Domestic-size freezer</t>
  </si>
  <si>
    <t>510 L sample</t>
  </si>
  <si>
    <t>Not a universal freezer value; check actual model</t>
  </si>
  <si>
    <t>R03</t>
  </si>
  <si>
    <t>Domestic-size fridge</t>
  </si>
  <si>
    <t>Reported heat-gain range</t>
  </si>
  <si>
    <t>Not condenser capacity; confirm model and room boundary</t>
  </si>
  <si>
    <t>R04</t>
  </si>
  <si>
    <t>Ice maker / dispenser</t>
  </si>
  <si>
    <t>9 kg storage-bin sample</t>
  </si>
  <si>
    <t>Water temperature, ice production and condenser location</t>
  </si>
  <si>
    <t>R05</t>
  </si>
  <si>
    <t>Display fridge • GM0374-NR</t>
  </si>
  <si>
    <t>372 L; self-contained</t>
  </si>
  <si>
    <t>kWh / 24 h</t>
  </si>
  <si>
    <t>Average electrical input only</t>
  </si>
  <si>
    <t>Obtain peak heat rejection at design ambient</t>
  </si>
  <si>
    <t>Bromic, GM0374-NR specification sheet, p.2</t>
  </si>
  <si>
    <t>https://www.bromicrefrigeration.com.au/wp-content/uploads/2025/06/GM0374-NR_SPEC_0525.pdf</t>
  </si>
  <si>
    <t>R06</t>
  </si>
  <si>
    <t>Display fridge • GM1000LBCAS</t>
  </si>
  <si>
    <t>960 L; self-contained</t>
  </si>
  <si>
    <t>Obtain peak heat rejection and operating/defrost profile</t>
  </si>
  <si>
    <t>Bromic, GM1000LBCAS specifications</t>
  </si>
  <si>
    <t>https://www.bromicrefrigeration.com.au/product/upright-display-fridge-960l-2-doors-flat-glass-cassette-black/</t>
  </si>
  <si>
    <t>R07</t>
  </si>
  <si>
    <t>Chest freezer • CF0300FTFG-NR</t>
  </si>
  <si>
    <t>296 L; self-contained</t>
  </si>
  <si>
    <t>Do not infer on-cycle heat from a daily average</t>
  </si>
  <si>
    <t>Bromic, CF0300FTFG-NR specification sheet, p.2; hosted by Arcus</t>
  </si>
  <si>
    <t>https://www.arcus.com.au/wp-content/uploads/2022/11/Spec_Sheet_CF0300FTFG-NR.pdf</t>
  </si>
  <si>
    <t>R08</t>
  </si>
  <si>
    <t>Small / medium / large household fridge</t>
  </si>
  <si>
    <t>Exact model required</t>
  </si>
  <si>
    <t>Model energy label required</t>
  </si>
  <si>
    <t>No generic peak value assigned</t>
  </si>
  <si>
    <t>Use Energy Rating model lookup; measure representative operation</t>
  </si>
  <si>
    <t>Australian Government, Energy Rating Calculator</t>
  </si>
  <si>
    <t>R09</t>
  </si>
  <si>
    <t>Walk-in cool room</t>
  </si>
  <si>
    <t>Remote outdoor condenser</t>
  </si>
  <si>
    <t>System layout required</t>
  </si>
  <si>
    <t>Condenser heat usually outside served room</t>
  </si>
  <si>
    <t>Room heat balance, fans, defrost, lights, doors and product load</t>
  </si>
  <si>
    <t>Project data required</t>
  </si>
  <si>
    <t>R10</t>
  </si>
  <si>
    <t>Walk-in freezer</t>
  </si>
  <si>
    <t>Not a generic positive room gain</t>
  </si>
  <si>
    <t>Refrigeration design requires its own boundary and conditions</t>
  </si>
  <si>
    <t>R11</t>
  </si>
  <si>
    <t>Open refrigerated display</t>
  </si>
  <si>
    <t>Self-contained or remote</t>
  </si>
  <si>
    <t>Model and configuration required</t>
  </si>
  <si>
    <t>Can cool/dehumidify surrounding air</t>
  </si>
  <si>
    <t>Cabinet air exchange and heat rejection location</t>
  </si>
  <si>
    <t>R12</t>
  </si>
  <si>
    <t>Commercial fridge / freezer, any size</t>
  </si>
  <si>
    <t>Indoor remote condensing unit</t>
  </si>
  <si>
    <t>Manufacturer rejection data required</t>
  </si>
  <si>
    <t>Heat belongs where condenser is located</t>
  </si>
  <si>
    <t>Evaporator duty, compressor input and auxiliary location</t>
  </si>
  <si>
    <t>HOW TO AVOID DOUBLE-COUNTING</t>
  </si>
  <si>
    <t>Condenser boundary</t>
  </si>
  <si>
    <t>At a consistent operating condition: rejected heat = evaporator heat removed + compressor power; allocate auxiliaries separately.</t>
  </si>
  <si>
    <t>Whole room + cabinet</t>
  </si>
  <si>
    <t>Subtract heat taken from that same room when counting condenser rejection. Otherwise cabinet leakage is counted twice.</t>
  </si>
  <si>
    <t>Closed, steady cabinet</t>
  </si>
  <si>
    <t>If all heat removed originated in the same room and no stored energy changes, net room addition approaches total electrical input.</t>
  </si>
  <si>
    <t>Warm stock / door traffic</t>
  </si>
  <si>
    <t>Product imported warm, moisture, ice removal and changing stored energy invalidate the simple electrical-only approximation.</t>
  </si>
  <si>
    <t>Remote condenser</t>
  </si>
  <si>
    <t>Do not put outdoor condenser rejection into the occupied room. Indoor fans, lights and anti-sweat heaters still need allocation.</t>
  </si>
  <si>
    <t>Design peak</t>
  </si>
  <si>
    <t>Request a manufacturer heat-rejection figure with ambient, cabinet temperature, operating mode and defrost basis.</t>
  </si>
  <si>
    <t>Current rating</t>
  </si>
  <si>
    <t>Volts × amps is apparent power for AC. Real watts also depend on power factor; do not use plug amperage as heat output.</t>
  </si>
  <si>
    <t>Room worksheet • conditional equipment heat gains</t>
  </si>
  <si>
    <t>ONE room and ONE design hour. Select equipment, enter quantity and fraction, then confirm D. Use reference values, or fill I:M with documented project-specific heat inputs. Incomplete rows block the subtotal.</t>
  </si>
  <si>
    <t>Fraction: 1 for a source value already averaged over your chosen hour; otherwise actual state-hours / 1 hour. Include standby separately if relevant. Match the source's duty basis; do not apply diversity twice.</t>
  </si>
  <si>
    <t>OPTIONAL PROJECT INPUTS — fill ALL five cells on a row; leave all blank to use the reference list</t>
  </si>
  <si>
    <t>Equipment — select item</t>
  </si>
  <si>
    <t>Quantity / units</t>
  </si>
  <si>
    <t>Hour fraction (0–1)</t>
  </si>
  <si>
    <t>Conditions match?</t>
  </si>
  <si>
    <t>Status</t>
  </si>
  <si>
    <t>Sensible kW</t>
  </si>
  <si>
    <t>Latent kW</t>
  </si>
  <si>
    <t>Use conditions — read before ticking D</t>
  </si>
  <si>
    <t>Project sensible W/unit</t>
  </si>
  <si>
    <t>Project latent W/unit</t>
  </si>
  <si>
    <t>Actual model + operating state</t>
  </si>
  <si>
    <t>Evidence: publisher/model/page or measurement record/date</t>
  </si>
  <si>
    <t>Room allocation + hourly/duty basis</t>
  </si>
  <si>
    <t>SELECTED EQUIPMENT SUBTOTAL</t>
  </si>
  <si>
    <t>Selected equipment only; includes any confirmed project inputs. Not a complete building cooling load.</t>
  </si>
  <si>
    <t>Equipment heat gains only. Add building envelope, solar, people, outdoor air and infiltration in the full load calculation; sensible gain may require radiant/time-lag treatment.</t>
  </si>
  <si>
    <t>D confirms your conditions match; it is not engineering approval. Project inputs I:M require actual ROOM sensible and latent watts, not electrical VA, heater ratings or exported heat. Enter zero latent only with a documented basis.</t>
  </si>
  <si>
    <t>For blocked equipment: select its name, enter BOTH heat values in I/J, model/state in K, source or measurement record in L, and room allocation/duty in M. Complete B/C, read H and confirm D. Project entries do not change the reference database.</t>
  </si>
  <si>
    <t>Sources for example inputs</t>
  </si>
  <si>
    <t>M4 mini 65 W intensive-test maximum</t>
  </si>
  <si>
    <t>LED 8 W electrical rating</t>
  </si>
  <si>
    <t>Monitor 11.7 W on mode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</si>
</sst>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
    <numFmt numFmtId="166" formatCode="0.000"/>
    <numFmt numFmtId="167" formatCode="0.0"/>
  </numFmts>
  <fonts count="26">
    <font>
      <sz val="11.0"/>
      <color rgb="FF000000"/>
      <name val="Carlito"/>
      <scheme val="minor"/>
    </font>
    <font>
      <sz val="11.0"/>
      <color theme="1"/>
      <name val="Arial"/>
    </font>
    <font>
      <b/>
      <sz val="11.0"/>
      <color theme="1"/>
      <name val="Arial"/>
    </font>
    <font>
      <b/>
      <color rgb="FFFFFFFF"/>
      <name val="Carlito"/>
      <scheme val="minor"/>
    </font>
    <font>
      <sz val="10.0"/>
      <color theme="1"/>
      <name val="Arial"/>
    </font>
    <font>
      <u/>
      <sz val="11.0"/>
      <color rgb="FF0000FF"/>
      <name val="Arial"/>
    </font>
    <font>
      <sz val="11.0"/>
      <color rgb="FF243449"/>
      <name val="Arial"/>
    </font>
    <font>
      <b/>
      <sz val="16.0"/>
      <color rgb="FF162C46"/>
      <name val="Arial"/>
    </font>
    <font>
      <b/>
      <sz val="11.0"/>
      <color rgb="FFFFFFFF"/>
      <name val="Arial"/>
    </font>
    <font>
      <color theme="1"/>
      <name val="Carlito"/>
      <scheme val="minor"/>
    </font>
    <font>
      <b/>
      <sz val="11.0"/>
      <color rgb="FF243449"/>
      <name val="Arial"/>
    </font>
    <font>
      <sz val="11"/>
      <color rgb="FF000000"/>
      <name val="Carlito"/>
      <scheme val="minor"/>
    </font>
    <font>
      <sz val="11"/>
      <color theme="1"/>
      <name val="Arial"/>
    </font>
    <font>
      <b/>
      <sz val="11"/>
      <color theme="1"/>
      <name val="Arial"/>
    </font>
    <font>
      <b/>
      <color rgb="FFFFFFFF"/>
      <name val="Carlito"/>
      <scheme val="minor"/>
    </font>
    <font>
      <sz val="10"/>
      <color theme="1"/>
      <name val="Arial"/>
    </font>
    <font>
      <u val="single"/>
      <sz val="11"/>
      <color rgb="FF0000FF"/>
      <name val="Arial"/>
    </font>
    <font>
      <sz val="11"/>
      <color rgb="FF243449"/>
      <name val="Arial"/>
    </font>
    <font>
      <b/>
      <sz val="16"/>
      <color rgb="FF162C46"/>
      <name val="Arial"/>
    </font>
    <font>
      <b/>
      <sz val="11"/>
      <color rgb="FFFFFFFF"/>
      <name val="Arial"/>
    </font>
    <font>
      <color theme="1"/>
      <name val="Carlito"/>
      <scheme val="minor"/>
    </font>
    <font>
      <b/>
      <sz val="11"/>
      <color rgb="FF243449"/>
      <name val="Arial"/>
    </font>
    <font>
      <b/>
      <sz val="10"/>
      <color rgb="FFFFFFFF"/>
      <name val="Arial"/>
      <scheme val="minor"/>
    </font>
    <font>
      <sz val="10"/>
      <color rgb="FF000000"/>
      <name val="Arial"/>
      <scheme val="minor"/>
    </font>
    <font>
      <b/>
      <sz val="11"/>
      <color rgb="FF000000"/>
      <name val="Arial"/>
      <scheme val="minor"/>
    </font>
    <font>
      <sz val="11"/>
      <color rgb="FF000000"/>
      <name val="Arial"/>
      <scheme val="minor"/>
    </font>
  </fonts>
  <fills count="21">
    <fill>
      <patternFill patternType="none"/>
    </fill>
    <fill>
      <patternFill patternType="lightGray"/>
    </fill>
    <fill>
      <patternFill patternType="solid">
        <fgColor rgb="FFE5EAEF"/>
        <bgColor rgb="FFE5EAEF"/>
      </patternFill>
    </fill>
    <fill>
      <patternFill patternType="solid">
        <fgColor rgb="FF1E445B"/>
        <bgColor rgb="FF1E445B"/>
      </patternFill>
    </fill>
    <fill>
      <patternFill patternType="solid">
        <fgColor rgb="FF263F54"/>
        <bgColor rgb="FF263F54"/>
      </patternFill>
    </fill>
    <fill>
      <patternFill patternType="solid">
        <fgColor rgb="FFFFF4D1"/>
        <bgColor rgb="FFFFF4D1"/>
      </patternFill>
    </fill>
    <fill>
      <patternFill patternType="solid">
        <fgColor rgb="FFFFEFCC"/>
        <bgColor rgb="FFFFEFCC"/>
      </patternFill>
    </fill>
    <fill>
      <patternFill patternType="solid">
        <fgColor rgb="FF243B53"/>
        <bgColor rgb="FF243B53"/>
      </patternFill>
    </fill>
    <fill>
      <patternFill patternType="solid">
        <fgColor rgb="FFFFF2CE"/>
        <bgColor rgb="FFFFF2CE"/>
      </patternFill>
    </fill>
    <fill>
      <patternFill patternType="solid">
        <fgColor rgb="FFFFF7D8"/>
        <bgColor rgb="FFFFF7D8"/>
      </patternFill>
    </fill>
    <fill>
      <patternFill patternType="none"/>
    </fill>
    <fill>
      <patternFill patternType="lightGray"/>
    </fill>
    <fill>
      <patternFill patternType="solid">
        <fgColor rgb="FFE5EAEF"/>
      </patternFill>
    </fill>
    <fill>
      <patternFill patternType="solid">
        <fgColor rgb="FF1E445B"/>
      </patternFill>
    </fill>
    <fill>
      <patternFill patternType="solid">
        <fgColor rgb="FF263F54"/>
      </patternFill>
    </fill>
    <fill>
      <patternFill patternType="solid">
        <fgColor rgb="FFFFF4D1"/>
      </patternFill>
    </fill>
    <fill>
      <patternFill patternType="solid">
        <fgColor rgb="FFFFEFCC"/>
      </patternFill>
    </fill>
    <fill>
      <patternFill patternType="solid">
        <fgColor rgb="FF243B53"/>
      </patternFill>
    </fill>
    <fill>
      <patternFill patternType="solid">
        <fgColor rgb="FFFFF2CE"/>
      </patternFill>
    </fill>
    <fill>
      <patternFill patternType="solid">
        <fgColor rgb="FFFFF7D8"/>
      </patternFill>
    </fill>
    <fill>
      <patternFill patternType="solid">
        <fgColor rgb="FF173E50"/>
      </patternFill>
    </fill>
  </fills>
  <borders count="4">
    <border/>
    <border>
      <left/>
      <right/>
      <top/>
      <bottom/>
    </border>
    <border/>
    <border>
      <left/>
      <right/>
      <top/>
      <bottom/>
    </border>
  </borders>
  <cellStyleXfs count="2">
    <xf borderId="0" fillId="0" fontId="0" numFmtId="0" applyAlignment="1" applyFont="1"/>
    <xf numFmtId="0" fontId="11" fillId="10" borderId="2" applyFont="1" applyAlignment="1"/>
  </cellStyleXfs>
  <cellXfs count="103">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2" numFmtId="0" xfId="0" applyAlignment="1" applyFill="1" applyFont="1">
      <alignment shrinkToFit="0" vertical="center" wrapText="1"/>
    </xf>
    <xf borderId="0" fillId="3" fontId="3" numFmtId="0" xfId="0" applyAlignment="1" applyFill="1" applyFont="1">
      <alignment shrinkToFit="0" vertical="top" wrapText="1"/>
    </xf>
    <xf borderId="0" fillId="2" fontId="2" numFmtId="0" xfId="0" applyAlignment="1" applyFill="1" applyFont="1">
      <alignment readingOrder="0" shrinkToFit="0" vertical="center" wrapText="1"/>
    </xf>
    <xf borderId="0" fillId="4" fontId="3" numFmtId="0" xfId="0" applyAlignment="1" applyFill="1" applyFont="1">
      <alignment shrinkToFit="0" vertical="top" wrapText="1"/>
    </xf>
    <xf borderId="0" fillId="0" fontId="4" numFmtId="0" xfId="0" applyAlignment="1" applyFont="1">
      <alignment readingOrder="0" shrinkToFit="0" vertical="top" wrapText="1"/>
    </xf>
    <xf borderId="0" fillId="0" fontId="4" numFmtId="2" xfId="0" applyAlignment="1" applyFont="1" applyNumberFormat="1">
      <alignment readingOrder="0" shrinkToFit="0" vertical="top" wrapText="1"/>
    </xf>
    <xf borderId="0" fillId="5" fontId="2" numFmtId="0" xfId="0" applyAlignment="1" applyFill="1" applyFont="1">
      <alignment shrinkToFit="0" vertical="center" wrapText="1"/>
    </xf>
    <xf borderId="0" fillId="5" fontId="2" numFmtId="164" xfId="0" applyAlignment="1" applyFill="1" applyFont="1" applyNumberFormat="1">
      <alignment shrinkToFit="0" vertical="center" wrapText="1"/>
    </xf>
    <xf borderId="0" fillId="0" fontId="5" numFmtId="0" xfId="0" applyAlignment="1" applyFont="1">
      <alignment readingOrder="0" shrinkToFit="0" vertical="center" wrapText="1"/>
    </xf>
    <xf borderId="0" fillId="0" fontId="4" numFmtId="165" xfId="0" applyAlignment="1" applyFont="1" applyNumberFormat="1">
      <alignment shrinkToFit="0" vertical="top" wrapText="1"/>
    </xf>
    <xf borderId="0" fillId="0" fontId="4" numFmtId="0" xfId="0" applyAlignment="1" applyFont="1">
      <alignment shrinkToFit="0" vertical="top" wrapText="1"/>
    </xf>
    <xf borderId="0" fillId="0" fontId="4" numFmtId="2" xfId="0" applyAlignment="1" applyFont="1" applyNumberFormat="1">
      <alignment shrinkToFit="0" vertical="top" wrapText="1"/>
    </xf>
    <xf borderId="0" fillId="5" fontId="2" numFmtId="0" xfId="0" applyAlignment="1" applyFill="1" applyFont="1">
      <alignment readingOrder="0" shrinkToFit="0" vertical="center" wrapText="1"/>
    </xf>
    <xf borderId="0" fillId="6" fontId="4" numFmtId="165" xfId="0" applyAlignment="1" applyFill="1" applyFont="1" applyNumberFormat="1">
      <alignment shrinkToFit="0" vertical="top" wrapText="1"/>
    </xf>
    <xf borderId="0" fillId="6" fontId="4" numFmtId="0" xfId="0" applyAlignment="1" applyFill="1" applyFont="1">
      <alignment shrinkToFit="0" vertical="top" wrapText="1"/>
    </xf>
    <xf borderId="0" fillId="5" fontId="1" numFmtId="0" xfId="0" applyAlignment="1" applyFill="1" applyFont="1">
      <alignment readingOrder="0" shrinkToFit="0" vertical="center" wrapText="1"/>
    </xf>
    <xf borderId="0" fillId="5" fontId="1" numFmtId="164" xfId="0" applyAlignment="1" applyFill="1" applyFont="1" applyNumberFormat="1">
      <alignment readingOrder="0" shrinkToFit="0" vertical="center" wrapText="1"/>
    </xf>
    <xf borderId="0" fillId="5" fontId="1" numFmtId="164" xfId="0" applyAlignment="1" applyFill="1" applyFont="1" applyNumberFormat="1">
      <alignment shrinkToFit="0" vertical="center" wrapText="1"/>
    </xf>
    <xf borderId="0" fillId="0" fontId="6" numFmtId="0" xfId="0" applyAlignment="1" applyFont="1">
      <alignment vertical="center"/>
    </xf>
    <xf borderId="0" fillId="0" fontId="7" numFmtId="0" xfId="0" applyAlignment="1" applyFont="1">
      <alignment vertical="center"/>
    </xf>
    <xf borderId="1" fillId="7" fontId="8" numFmtId="0" xfId="0" applyAlignment="1" applyBorder="1" applyFill="1" applyFont="1">
      <alignment shrinkToFit="0" vertical="center" wrapText="1"/>
    </xf>
    <xf borderId="0" fillId="0" fontId="6" numFmtId="0" xfId="0" applyAlignment="1" applyFont="1">
      <alignment readingOrder="0" vertical="center"/>
    </xf>
    <xf borderId="0" fillId="0" fontId="6" numFmtId="0" xfId="0" applyAlignment="1" applyFont="1">
      <alignment shrinkToFit="0" vertical="center" wrapText="1"/>
    </xf>
    <xf borderId="0" fillId="0" fontId="1" numFmtId="0" xfId="0" applyAlignment="1" applyFont="1">
      <alignment readingOrder="0" shrinkToFit="0" wrapText="1"/>
    </xf>
    <xf borderId="0" fillId="0" fontId="9" numFmtId="0" xfId="0" applyAlignment="1" applyFont="1">
      <alignment readingOrder="0" shrinkToFit="0" wrapText="1"/>
    </xf>
    <xf borderId="0" fillId="0" fontId="9" numFmtId="0" xfId="0" applyAlignment="1" applyFont="1">
      <alignment shrinkToFit="0" wrapText="1"/>
    </xf>
    <xf borderId="1" fillId="7" fontId="8" numFmtId="0" xfId="0" applyAlignment="1" applyBorder="1" applyFill="1" applyFont="1">
      <alignment horizontal="left" readingOrder="0" shrinkToFit="0" vertical="center" wrapText="1"/>
    </xf>
    <xf borderId="0" fillId="0" fontId="6" numFmtId="0" xfId="0" applyAlignment="1" applyFont="1">
      <alignment shrinkToFit="0" vertical="center" wrapText="0"/>
    </xf>
    <xf borderId="0" fillId="0" fontId="6" numFmtId="166" xfId="0" applyAlignment="1" applyFont="1" applyNumberFormat="1">
      <alignment shrinkToFit="0" vertical="center" wrapText="0"/>
    </xf>
    <xf borderId="0" fillId="0" fontId="6" numFmtId="164" xfId="0" applyAlignment="1" applyFont="1" applyNumberFormat="1">
      <alignment shrinkToFit="0" vertical="center" wrapText="0"/>
    </xf>
    <xf borderId="0" fillId="0" fontId="10" numFmtId="0" xfId="0" applyAlignment="1" applyFont="1">
      <alignment vertical="center"/>
    </xf>
    <xf borderId="0" fillId="0" fontId="7" numFmtId="0" xfId="0" applyAlignment="1" applyFont="1">
      <alignment readingOrder="0" shrinkToFit="0" vertical="center" wrapText="1"/>
    </xf>
    <xf borderId="0" fillId="0" fontId="6" numFmtId="0" xfId="0" applyAlignment="1" applyFont="1">
      <alignment readingOrder="0" shrinkToFit="0" vertical="center" wrapText="1"/>
    </xf>
    <xf borderId="1" fillId="7" fontId="8" numFmtId="0" xfId="0" applyAlignment="1" applyBorder="1" applyFill="1" applyFont="1">
      <alignment readingOrder="0" shrinkToFit="0" vertical="top" wrapText="1"/>
    </xf>
    <xf borderId="1" fillId="5" fontId="6" numFmtId="0" xfId="0" applyAlignment="1" applyBorder="1" applyFill="1" applyFont="1">
      <alignment shrinkToFit="0" vertical="top" wrapText="1"/>
    </xf>
    <xf borderId="1" fillId="5" fontId="6" numFmtId="167" xfId="0" applyAlignment="1" applyBorder="1" applyFill="1" applyFont="1" applyNumberFormat="1">
      <alignment shrinkToFit="0" vertical="top" wrapText="1"/>
    </xf>
    <xf borderId="1" fillId="5" fontId="6" numFmtId="9" xfId="0" applyAlignment="1" applyBorder="1" applyFill="1" applyFont="1" applyNumberFormat="1">
      <alignment readingOrder="0" shrinkToFit="0" vertical="top" wrapText="1"/>
    </xf>
    <xf borderId="1" fillId="8" fontId="6" numFmtId="9" xfId="0" applyAlignment="1" applyBorder="1" applyFill="1" applyFont="1" applyNumberFormat="1">
      <alignment shrinkToFit="0" vertical="top" wrapText="1"/>
    </xf>
    <xf borderId="0" fillId="0" fontId="6" numFmtId="166" xfId="0" applyAlignment="1" applyFont="1" applyNumberFormat="1">
      <alignment shrinkToFit="0" vertical="top" wrapText="1"/>
    </xf>
    <xf borderId="0" fillId="0" fontId="6" numFmtId="0" xfId="0" applyAlignment="1" applyFont="1">
      <alignment shrinkToFit="0" vertical="top" wrapText="1"/>
    </xf>
    <xf borderId="0" fillId="9" fontId="9" numFmtId="2" xfId="0" applyAlignment="1" applyFill="1" applyFont="1" applyNumberFormat="1">
      <alignment shrinkToFit="0" vertical="top" wrapText="1"/>
    </xf>
    <xf borderId="0" fillId="9" fontId="9" numFmtId="0" xfId="0" applyAlignment="1" applyFill="1" applyFont="1">
      <alignment shrinkToFit="0" vertical="top" wrapText="1"/>
    </xf>
    <xf borderId="0" fillId="0" fontId="6" numFmtId="0" xfId="0" applyAlignment="1" applyFont="1">
      <alignment readingOrder="0" shrinkToFit="0" vertical="top" wrapText="1"/>
    </xf>
    <xf borderId="0" fillId="0" fontId="10" numFmtId="166" xfId="0" applyAlignment="1" applyFont="1" applyNumberFormat="1">
      <alignment shrinkToFit="0" vertical="top" wrapText="1"/>
    </xf>
    <xf numFmtId="0" fontId="11" fillId="10" borderId="2" xfId="1" applyFont="1" applyAlignment="1">
      <alignment vertical="bottom" wrapText="0" shrinkToFit="0"/>
    </xf>
    <xf numFmtId="0" fontId="12" fillId="10" borderId="2" xfId="1" applyFont="1" applyAlignment="1">
      <alignment vertical="center" wrapText="1" shrinkToFit="0"/>
    </xf>
    <xf numFmtId="0" fontId="12" fillId="10" borderId="2" xfId="1" applyFont="1" applyAlignment="1">
      <alignment vertical="center" wrapText="1" shrinkToFit="0"/>
    </xf>
    <xf numFmtId="0" fontId="13" fillId="12" borderId="2" xfId="1" applyFont="1" applyFill="1" applyAlignment="1">
      <alignment vertical="center" wrapText="1" shrinkToFit="0"/>
    </xf>
    <xf numFmtId="0" fontId="14" fillId="13" borderId="2" xfId="1" applyFont="1" applyFill="1" applyAlignment="1">
      <alignment vertical="top" wrapText="1" shrinkToFit="0"/>
    </xf>
    <xf numFmtId="0" fontId="13" fillId="12" borderId="2" xfId="1" applyFont="1" applyFill="1" applyAlignment="1">
      <alignment vertical="center" wrapText="1" shrinkToFit="0"/>
    </xf>
    <xf numFmtId="0" fontId="14" fillId="14" borderId="2" xfId="1" applyFont="1" applyFill="1" applyAlignment="1">
      <alignment vertical="top" wrapText="1" shrinkToFit="0"/>
    </xf>
    <xf numFmtId="0" fontId="15" fillId="10" borderId="2" xfId="1" applyFont="1" applyAlignment="1">
      <alignment vertical="top" wrapText="1" shrinkToFit="0"/>
    </xf>
    <xf numFmtId="2" fontId="15" fillId="10" borderId="2" xfId="1" applyNumberFormat="1" applyFont="1" applyAlignment="1">
      <alignment vertical="top" wrapText="1" shrinkToFit="0"/>
    </xf>
    <xf numFmtId="0" fontId="13" fillId="15" borderId="2" xfId="1" applyFont="1" applyFill="1" applyAlignment="1">
      <alignment vertical="center" wrapText="1" shrinkToFit="0"/>
    </xf>
    <xf numFmtId="164" fontId="13" fillId="15" borderId="2" xfId="1" applyNumberFormat="1" applyFont="1" applyFill="1" applyAlignment="1">
      <alignment vertical="center" wrapText="1" shrinkToFit="0"/>
    </xf>
    <xf numFmtId="0" fontId="16" fillId="10" borderId="2" xfId="1" applyFont="1" applyAlignment="1">
      <alignment vertical="center" wrapText="1" shrinkToFit="0"/>
    </xf>
    <xf numFmtId="165" fontId="15" fillId="10" borderId="2" xfId="1" applyNumberFormat="1" applyFont="1" applyAlignment="1">
      <alignment vertical="top" wrapText="1" shrinkToFit="0"/>
    </xf>
    <xf numFmtId="0" fontId="15" fillId="10" borderId="2" xfId="1" applyFont="1" applyAlignment="1">
      <alignment vertical="top" wrapText="1" shrinkToFit="0"/>
    </xf>
    <xf numFmtId="2" fontId="15" fillId="10" borderId="2" xfId="1" applyNumberFormat="1" applyFont="1" applyAlignment="1">
      <alignment vertical="top" wrapText="1" shrinkToFit="0"/>
    </xf>
    <xf numFmtId="0" fontId="13" fillId="15" borderId="2" xfId="1" applyFont="1" applyFill="1" applyAlignment="1">
      <alignment vertical="center" wrapText="1" shrinkToFit="0"/>
    </xf>
    <xf numFmtId="165" fontId="15" fillId="16" borderId="2" xfId="1" applyNumberFormat="1" applyFont="1" applyFill="1" applyAlignment="1">
      <alignment vertical="top" wrapText="1" shrinkToFit="0"/>
    </xf>
    <xf numFmtId="0" fontId="15" fillId="16" borderId="2" xfId="1" applyFont="1" applyFill="1" applyAlignment="1">
      <alignment vertical="top" wrapText="1" shrinkToFit="0"/>
    </xf>
    <xf numFmtId="0" fontId="12" fillId="15" borderId="2" xfId="1" applyFont="1" applyFill="1" applyAlignment="1">
      <alignment vertical="center" wrapText="1" shrinkToFit="0"/>
    </xf>
    <xf numFmtId="164" fontId="12" fillId="15" borderId="2" xfId="1" applyNumberFormat="1" applyFont="1" applyFill="1" applyAlignment="1">
      <alignment vertical="center" wrapText="1" shrinkToFit="0"/>
    </xf>
    <xf numFmtId="164" fontId="12" fillId="15" borderId="2" xfId="1" applyNumberFormat="1" applyFont="1" applyFill="1" applyAlignment="1">
      <alignment vertical="center" wrapText="1" shrinkToFit="0"/>
    </xf>
    <xf numFmtId="0" fontId="17" fillId="10" borderId="2" xfId="1" applyFont="1" applyAlignment="1">
      <alignment vertical="center"/>
    </xf>
    <xf numFmtId="0" fontId="18" fillId="10" borderId="2" xfId="1" applyFont="1" applyAlignment="1">
      <alignment vertical="center"/>
    </xf>
    <xf numFmtId="0" fontId="19" fillId="17" borderId="3" xfId="1" applyFont="1" applyFill="1" applyBorder="1" applyAlignment="1">
      <alignment vertical="center" wrapText="1" shrinkToFit="0"/>
    </xf>
    <xf numFmtId="0" fontId="17" fillId="10" borderId="2" xfId="1" applyFont="1" applyAlignment="1">
      <alignment vertical="center"/>
    </xf>
    <xf numFmtId="0" fontId="17" fillId="10" borderId="2" xfId="1" applyFont="1" applyAlignment="1">
      <alignment vertical="center" wrapText="1" shrinkToFit="0"/>
    </xf>
    <xf numFmtId="0" fontId="12" fillId="10" borderId="2" xfId="1" applyFont="1" applyAlignment="1">
      <alignment wrapText="1" shrinkToFit="0"/>
    </xf>
    <xf numFmtId="0" fontId="20" fillId="10" borderId="2" xfId="1" applyFont="1" applyAlignment="1">
      <alignment wrapText="1" shrinkToFit="0"/>
    </xf>
    <xf numFmtId="0" fontId="20" fillId="10" borderId="2" xfId="1" applyFont="1" applyAlignment="1">
      <alignment wrapText="1" shrinkToFit="0"/>
    </xf>
    <xf numFmtId="0" fontId="19" fillId="17" borderId="3" xfId="1" applyFont="1" applyFill="1" applyBorder="1" applyAlignment="1">
      <alignment horizontal="left" vertical="center" wrapText="1" shrinkToFit="0"/>
    </xf>
    <xf numFmtId="0" fontId="17" fillId="10" borderId="2" xfId="1" applyFont="1" applyAlignment="1">
      <alignment vertical="center" wrapText="0" shrinkToFit="0"/>
    </xf>
    <xf numFmtId="166" fontId="17" fillId="10" borderId="2" xfId="1" applyNumberFormat="1" applyFont="1" applyAlignment="1">
      <alignment vertical="center" wrapText="0" shrinkToFit="0"/>
    </xf>
    <xf numFmtId="164" fontId="17" fillId="10" borderId="2" xfId="1" applyNumberFormat="1" applyFont="1" applyAlignment="1">
      <alignment vertical="center" wrapText="0" shrinkToFit="0"/>
    </xf>
    <xf numFmtId="0" fontId="21" fillId="10" borderId="2" xfId="1" applyFont="1" applyAlignment="1">
      <alignment vertical="center"/>
    </xf>
    <xf numFmtId="0" fontId="18" fillId="10" borderId="2" xfId="1" applyFont="1" applyAlignment="1">
      <alignment vertical="center" wrapText="1" shrinkToFit="0"/>
    </xf>
    <xf numFmtId="0" fontId="17" fillId="10" borderId="2" xfId="1" applyFont="1" applyAlignment="1">
      <alignment vertical="center" wrapText="1" shrinkToFit="0"/>
    </xf>
    <xf numFmtId="0" fontId="19" fillId="17" borderId="3" xfId="1" applyFont="1" applyFill="1" applyBorder="1" applyAlignment="1">
      <alignment vertical="top" wrapText="1" shrinkToFit="0"/>
    </xf>
    <xf numFmtId="0" fontId="17" fillId="15" borderId="3" xfId="1" applyFont="1" applyFill="1" applyBorder="1" applyAlignment="1">
      <alignment vertical="top" wrapText="1" shrinkToFit="0"/>
    </xf>
    <xf numFmtId="167" fontId="17" fillId="15" borderId="3" xfId="1" applyNumberFormat="1" applyFont="1" applyFill="1" applyBorder="1" applyAlignment="1">
      <alignment vertical="top" wrapText="1" shrinkToFit="0"/>
    </xf>
    <xf numFmtId="9" fontId="17" fillId="15" borderId="3" xfId="1" applyNumberFormat="1" applyFont="1" applyFill="1" applyBorder="1" applyAlignment="1">
      <alignment vertical="top" wrapText="1" shrinkToFit="0"/>
    </xf>
    <xf numFmtId="9" fontId="17" fillId="18" borderId="3" xfId="1" applyNumberFormat="1" applyFont="1" applyFill="1" applyBorder="1" applyAlignment="1">
      <alignment vertical="top" wrapText="1" shrinkToFit="0"/>
    </xf>
    <xf numFmtId="166" fontId="17" fillId="10" borderId="2" xfId="1" applyNumberFormat="1" applyFont="1" applyAlignment="1">
      <alignment vertical="top" wrapText="1" shrinkToFit="0"/>
    </xf>
    <xf numFmtId="0" fontId="17" fillId="10" borderId="2" xfId="1" applyFont="1" applyAlignment="1">
      <alignment vertical="top" wrapText="1" shrinkToFit="0"/>
    </xf>
    <xf numFmtId="2" fontId="20" fillId="19" borderId="2" xfId="1" applyNumberFormat="1" applyFont="1" applyFill="1" applyAlignment="1">
      <alignment vertical="top" wrapText="1" shrinkToFit="0"/>
    </xf>
    <xf numFmtId="0" fontId="20" fillId="19" borderId="2" xfId="1" applyFont="1" applyFill="1" applyAlignment="1">
      <alignment vertical="top" wrapText="1" shrinkToFit="0"/>
    </xf>
    <xf numFmtId="0" fontId="17" fillId="10" borderId="2" xfId="1" applyFont="1" applyAlignment="1">
      <alignment vertical="top" wrapText="1" shrinkToFit="0"/>
    </xf>
    <xf numFmtId="166" fontId="21" fillId="10" borderId="2" xfId="1" applyNumberFormat="1" applyFont="1" applyAlignment="1">
      <alignment vertical="top" wrapText="1" shrinkToFit="0"/>
    </xf>
    <xf numFmtId="0" fontId="11" fillId="20" borderId="2" xfId="1" applyNumberFormat="1" applyFont="1" applyFill="1" applyBorder="1" applyAlignment="1">
      <alignment vertical="bottom" wrapText="0"/>
    </xf>
    <xf numFmtId="0" fontId="22" fillId="20" borderId="2" xfId="1" applyNumberFormat="1" applyFont="1" applyFill="1" applyBorder="1" applyAlignment="1">
      <alignment vertical="bottom" wrapText="0"/>
    </xf>
    <xf numFmtId="0" fontId="22" fillId="20" borderId="2" xfId="1" applyNumberFormat="1" applyFont="1" applyFill="1" applyBorder="1" applyAlignment="1">
      <alignment vertical="bottom" wrapText="1"/>
    </xf>
    <xf numFmtId="0" fontId="23" fillId="10" borderId="2" xfId="1" applyNumberFormat="1" applyFont="1" applyFill="1" applyBorder="1" applyAlignment="1">
      <alignment vertical="bottom" wrapText="0"/>
    </xf>
    <xf numFmtId="0" fontId="23" fillId="10" borderId="2" xfId="1" applyNumberFormat="1" applyFont="1" applyFill="1" applyBorder="1" applyAlignment="1">
      <alignment vertical="bottom" wrapText="1"/>
    </xf>
    <xf numFmtId="0" fontId="24" fillId="10" borderId="2" xfId="1" applyNumberFormat="1" applyFont="1" applyFill="1" applyBorder="1" applyAlignment="1">
      <alignment vertical="bottom" wrapText="0"/>
    </xf>
    <xf numFmtId="0" fontId="24" fillId="10" borderId="2" xfId="1" applyNumberFormat="1" applyFont="1" applyFill="1" applyBorder="1" applyAlignment="1">
      <alignment vertical="bottom" wrapText="1"/>
    </xf>
    <xf numFmtId="0" fontId="25" fillId="10" borderId="2" xfId="1" applyNumberFormat="1" applyFont="1" applyFill="1" applyBorder="1" applyAlignment="1">
      <alignment vertical="bottom" wrapText="0"/>
    </xf>
    <xf numFmtId="0" fontId="25" fillId="10" borderId="2" xfId="1" applyNumberFormat="1" applyFont="1" applyFill="1" applyBorder="1" applyAlignment="1">
      <alignment vertical="bottom" wrapText="1"/>
    </xf>
  </cellXfs>
  <cellStyles count="1">
    <cellStyle xfId="0" name="Normal" builtinId="0"/>
  </cellStyles>
  <dxfs count="8">
    <dxf>
      <font/>
      <fill>
        <patternFill patternType="solid">
          <fgColor rgb="FFFFE0DB"/>
          <bgColor rgb="FFFFE0DB"/>
        </patternFill>
      </fill>
      <border/>
    </dxf>
    <dxf>
      <font/>
      <fill>
        <patternFill patternType="solid">
          <fgColor rgb="FFFFEFBF"/>
          <bgColor rgb="FFFFEFBF"/>
        </patternFill>
      </fill>
      <border/>
    </dxf>
    <dxf>
      <font/>
      <fill>
        <patternFill patternType="solid">
          <fgColor rgb="FFE0EFFF"/>
          <bgColor rgb="FFE0EFFF"/>
        </patternFill>
      </fill>
      <border/>
    </dxf>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Refrigeration-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J18" displayName="RefrigerationReference" name="RefrigerationReference" id="1">
  <tableColumns count="10">
    <tableColumn name="ID" id="1"/>
    <tableColumn name="Equipment" id="2"/>
    <tableColumn name="Size / configuration" id="3"/>
    <tableColumn name="Value low" id="4"/>
    <tableColumn name="Value high" id="5"/>
    <tableColumn name="Source unit / basis" id="6"/>
    <tableColumn name="Converted low kW" id="7"/>
    <tableColumn name="Converted high kW" id="8"/>
    <tableColumn name="What it means" id="9"/>
    <tableColumn name="Missing design information" id="10"/>
  </tableColumns>
  <tableStyleInfo name="Refrig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andbook.ashrae.org/Handbooks/F25/SI/F25_Ch18/F25_Ch18_si.aspx" TargetMode="External"/><Relationship Id="rId194" Type="http://schemas.openxmlformats.org/officeDocument/2006/relationships/hyperlink" Target="https://www.brandon-medical.com/content/uploads/web-Brandon-Medical-COOLVIEW-Apr23-B6-111-0021.pdf" TargetMode="External"/><Relationship Id="rId193" Type="http://schemas.openxmlformats.org/officeDocument/2006/relationships/hyperlink" Target="https://content.doclib.siemens-healthineers.com/rest/v1/view?document-id=810413" TargetMode="External"/><Relationship Id="rId192" Type="http://schemas.openxmlformats.org/officeDocument/2006/relationships/hyperlink" Target="https://www.siemens-healthineers.com/nl-be/computed-tomography/single-source-ct/somatom-perspective" TargetMode="External"/><Relationship Id="rId191" Type="http://schemas.openxmlformats.org/officeDocument/2006/relationships/hyperlink" Target="https://handbook.ashrae.org/Handbooks/F25/SI/F25_Ch18/F25_Ch18_si.aspx" TargetMode="External"/><Relationship Id="rId187" Type="http://schemas.openxmlformats.org/officeDocument/2006/relationships/hyperlink" Target="https://assets.thermofisher.com/TFS-Assets/CMD/Product-Guides/1288021-iCAP-Q-Preinstallation-Requirements-Guide-Rev-B-single-phase.pdf" TargetMode="External"/><Relationship Id="rId186" Type="http://schemas.openxmlformats.org/officeDocument/2006/relationships/hyperlink" Target="https://assets.thermofisher.com/TFS-Assets/CMD/Product-Guides/1288021-iCAP-Q-Preinstallation-Requirements-Guide-Rev-B-single-phase.pdf" TargetMode="External"/><Relationship Id="rId185" Type="http://schemas.openxmlformats.org/officeDocument/2006/relationships/hyperlink" Target="https://www.agilent.com/cs/library/sitepreparationchecklists/1260-1290Infinity_SitePrepChecklist.pdf" TargetMode="External"/><Relationship Id="rId184" Type="http://schemas.openxmlformats.org/officeDocument/2006/relationships/hyperlink" Target="https://www.thermofisher.com/order/catalog/product/cn/en/840-317400" TargetMode="External"/><Relationship Id="rId189" Type="http://schemas.openxmlformats.org/officeDocument/2006/relationships/hyperlink" Target="https://www.sigmaaldrich.com/JP/ja/campaigns/lab-water/milli-q-magazine-digital-jp/iq-7000-jp" TargetMode="External"/><Relationship Id="rId188" Type="http://schemas.openxmlformats.org/officeDocument/2006/relationships/hyperlink" Target="https://handbook.ashrae.org/Handbooks/F17/SI/f17_ch18/f17_ch18_si.aspx" TargetMode="External"/><Relationship Id="rId183" Type="http://schemas.openxmlformats.org/officeDocument/2006/relationships/hyperlink" Target="https://www.eppendorf.com/us-en/Products/Centrifugation/High-Speed-Centrifuges/Centrifuge-CR30NX-p-PF-923312" TargetMode="External"/><Relationship Id="rId182" Type="http://schemas.openxmlformats.org/officeDocument/2006/relationships/hyperlink" Target="https://www.labnics.com/catalog/thermostatic-heating-mantle/ntsm-101" TargetMode="External"/><Relationship Id="rId181" Type="http://schemas.openxmlformats.org/officeDocument/2006/relationships/hyperlink" Target="https://www.ika.com/ika/datasheet/download?iLang=1&amp;iProduct=10011525" TargetMode="External"/><Relationship Id="rId180" Type="http://schemas.openxmlformats.org/officeDocument/2006/relationships/hyperlink" Target="https://www.memmertusa.com/Content/files/ProductLibrary/UserManuals/D49239-PD-WTB-EN.pdf" TargetMode="External"/><Relationship Id="rId176" Type="http://schemas.openxmlformats.org/officeDocument/2006/relationships/hyperlink" Target="https://www.nuaire.com/wp-content/uploads/2026/03/class-ii-type-a2-biosafety-cabinet-nu-543-115v-spec.pdf" TargetMode="External"/><Relationship Id="rId297" Type="http://schemas.openxmlformats.org/officeDocument/2006/relationships/hyperlink" Target="https://www.heatcraftrpd.com/products/c/CLIMATE-CONTROL.CEM0125DS4EPAB0000" TargetMode="External"/><Relationship Id="rId175" Type="http://schemas.openxmlformats.org/officeDocument/2006/relationships/hyperlink" Target="https://doc.schneider-elektronik.de/uploads/fc400_td_en.pdf" TargetMode="External"/><Relationship Id="rId296" Type="http://schemas.openxmlformats.org/officeDocument/2006/relationships/hyperlink" Target="https://www.heatcraftrpd.com/products/c/CLIMATE-CONTROL.CEL0060BS6AMAB0000" TargetMode="External"/><Relationship Id="rId174" Type="http://schemas.openxmlformats.org/officeDocument/2006/relationships/hyperlink" Target="https://www.binder-world.com/uk-en/?cHash=edffe6a98a8ffa9a47a29e369816cfba&amp;download_asset=806000&amp;skip_asset_track=1" TargetMode="External"/><Relationship Id="rId295" Type="http://schemas.openxmlformats.org/officeDocument/2006/relationships/hyperlink" Target="https://sinofcold.com/en/prodotti/ft20-100wd/" TargetMode="External"/><Relationship Id="rId173" Type="http://schemas.openxmlformats.org/officeDocument/2006/relationships/hyperlink" Target="https://www.liebherr.com/en-ie/p/sftsg-1501-113844-2742470" TargetMode="External"/><Relationship Id="rId294" Type="http://schemas.openxmlformats.org/officeDocument/2006/relationships/hyperlink" Target="https://handbook.ashrae.org/Handbooks/F17/SI/f17_ch18/f17_ch18_si.aspx" TargetMode="External"/><Relationship Id="rId179" Type="http://schemas.openxmlformats.org/officeDocument/2006/relationships/hyperlink" Target="https://global.melag.com/sites/default/files/ba_vc550_en_1.pdf" TargetMode="External"/><Relationship Id="rId178" Type="http://schemas.openxmlformats.org/officeDocument/2006/relationships/hyperlink" Target="https://www.binder-world.com/uk-en/product/vd-23" TargetMode="External"/><Relationship Id="rId299" Type="http://schemas.openxmlformats.org/officeDocument/2006/relationships/hyperlink" Target="https://cateringinventar.dk/?file-download=spec-sheet-food-mixer-be-10-230-50-60-1.pdf" TargetMode="External"/><Relationship Id="rId177" Type="http://schemas.openxmlformats.org/officeDocument/2006/relationships/hyperlink" Target="https://www.binder-world.com/uk-en/products/drying-ovens/product/ed-56" TargetMode="External"/><Relationship Id="rId298" Type="http://schemas.openxmlformats.org/officeDocument/2006/relationships/hyperlink" Target="https://www.hoshizaki.com/Docs/techsupport/pocketguides/prplbk.pdf" TargetMode="External"/><Relationship Id="rId198" Type="http://schemas.openxmlformats.org/officeDocument/2006/relationships/hyperlink" Target="https://www.helmerinc.com/sites/default/files/2022-02/HPR105-GX-Technical-Data-Sheet-380413-1.pdf" TargetMode="External"/><Relationship Id="rId197" Type="http://schemas.openxmlformats.org/officeDocument/2006/relationships/hyperlink" Target="https://www.duerrdental.com/en/products/compressed-air/devices/tornado-compressors/" TargetMode="External"/><Relationship Id="rId196" Type="http://schemas.openxmlformats.org/officeDocument/2006/relationships/hyperlink" Target="https://manualzz.com/doc/o/2b9c5d/kavo-estetica-e30-instructions-for-use-3.10technical-data" TargetMode="External"/><Relationship Id="rId195" Type="http://schemas.openxmlformats.org/officeDocument/2006/relationships/hyperlink" Target="https://handbook.ashrae.org/Handbooks/F25/SI/F25_Ch18/F25_Ch18_si.aspx" TargetMode="External"/><Relationship Id="rId199" Type="http://schemas.openxmlformats.org/officeDocument/2006/relationships/hyperlink" Target="https://global.melag.com/sites/default/files/ba_vc550_en_1.pdf" TargetMode="External"/><Relationship Id="rId150" Type="http://schemas.openxmlformats.org/officeDocument/2006/relationships/hyperlink" Target="https://handbook.ashrae.org/Handbooks/F17/SI/f17_ch18/f17_ch18_si.aspx" TargetMode="External"/><Relationship Id="rId271" Type="http://schemas.openxmlformats.org/officeDocument/2006/relationships/hyperlink" Target="https://www.fortinet.com/content/dam/fortinet/assets/data-sheets/FortiGate_FortiWiFi_60E_Series.pdf" TargetMode="External"/><Relationship Id="rId392" Type="http://schemas.openxmlformats.org/officeDocument/2006/relationships/hyperlink" Target="https://selinc.com/api/download/10734/?lang=en" TargetMode="External"/><Relationship Id="rId270" Type="http://schemas.openxmlformats.org/officeDocument/2006/relationships/hyperlink" Target="https://www.cisco.com/c/en/us/products/collateral/switches/nexus-9000-series-switches/datasheet-c78-742284.html" TargetMode="External"/><Relationship Id="rId391" Type="http://schemas.openxmlformats.org/officeDocument/2006/relationships/hyperlink" Target="https://support.industry.siemens.com/cs/attachments/90114350/HWBasicPanels2GenUS_en-US.pdf" TargetMode="External"/><Relationship Id="rId390" Type="http://schemas.openxmlformats.org/officeDocument/2006/relationships/hyperlink" Target="https://sid.siemens.com/r/A6V14651312/13182215947_25410645643__en-US_17067653003" TargetMode="External"/><Relationship Id="rId1" Type="http://schemas.openxmlformats.org/officeDocument/2006/relationships/hyperlink" Target="https://support.apple.com/en-au/103253" TargetMode="External"/><Relationship Id="rId2" Type="http://schemas.openxmlformats.org/officeDocument/2006/relationships/hyperlink" Target="https://handbook.ashrae.org/Handbooks/F17/SI/f17_ch18/f17_ch18_si.aspx" TargetMode="External"/><Relationship Id="rId3" Type="http://schemas.openxmlformats.org/officeDocument/2006/relationships/hyperlink" Target="https://handbook.ashrae.org/Handbooks/F17/SI/f17_ch18/f17_ch18_si.aspx" TargetMode="External"/><Relationship Id="rId149" Type="http://schemas.openxmlformats.org/officeDocument/2006/relationships/hyperlink" Target="https://handbook.ashrae.org/Handbooks/F17/SI/f17_ch18/f17_ch18_si.aspx" TargetMode="External"/><Relationship Id="rId4" Type="http://schemas.openxmlformats.org/officeDocument/2006/relationships/hyperlink" Target="https://www.delltechnologies.com/asset/en-gb/products/electronics-and-accessories/technical-support/dell-24-monitor-p2425h-datasheet.pdf.external" TargetMode="External"/><Relationship Id="rId148" Type="http://schemas.openxmlformats.org/officeDocument/2006/relationships/hyperlink" Target="https://www.panasonic.com/content/dam/Panasonic/MEA/pdf-download/Cooking/MK-F510KTZ_MK-F310WTZ_OI.pdf" TargetMode="External"/><Relationship Id="rId269" Type="http://schemas.openxmlformats.org/officeDocument/2006/relationships/hyperlink" Target="https://sp.ts.fujitsu.com/dmsp/Publications/public/ds-brocadeG610-en.pdf" TargetMode="External"/><Relationship Id="rId9" Type="http://schemas.openxmlformats.org/officeDocument/2006/relationships/hyperlink" Target="https://handbook.ashrae.org/Handbooks/F17/SI/f17_ch18/f17_ch18_si.aspx" TargetMode="External"/><Relationship Id="rId143" Type="http://schemas.openxmlformats.org/officeDocument/2006/relationships/hyperlink" Target="https://www.fisherpaykel.com/on/demandware.static/-/Sites-fpa-master-catalog/default/dw6d262815/QRG/NZ/QRG-NZ-26053.pdf" TargetMode="External"/><Relationship Id="rId264" Type="http://schemas.openxmlformats.org/officeDocument/2006/relationships/hyperlink" Target="https://files.sma.de/downloads/SI_OFF_ON_6H_8H-DEN1642-V21web.pdf" TargetMode="External"/><Relationship Id="rId385" Type="http://schemas.openxmlformats.org/officeDocument/2006/relationships/hyperlink" Target="https://www.ineltro.ch/media/downloads/SAAItem/53/53845/a7340aa4-71be-4a73-b720-26d8a5e0137f.pdf" TargetMode="External"/><Relationship Id="rId142" Type="http://schemas.openxmlformats.org/officeDocument/2006/relationships/hyperlink" Target="https://handbook.ashrae.org/Handbooks/F17/SI/f17_ch18/f17_ch18_si.aspx" TargetMode="External"/><Relationship Id="rId263" Type="http://schemas.openxmlformats.org/officeDocument/2006/relationships/hyperlink" Target="https://handbook.ashrae.org/Handbooks/F17/SI/f17_ch18/f17_ch18_si.aspx" TargetMode="External"/><Relationship Id="rId384" Type="http://schemas.openxmlformats.org/officeDocument/2006/relationships/hyperlink" Target="https://productinfo.se.com/nadigest/5c51d645347bdf0001f1f280/Master/17704_MAIN%20%28bookmap%29_0000041932.xml/%24/LowVoltageStandardAutomaticCapacitorBanksCPT_0000085054" TargetMode="External"/><Relationship Id="rId141" Type="http://schemas.openxmlformats.org/officeDocument/2006/relationships/hyperlink" Target="https://www.haier.com.au/refrigeration/refrigerators/90l-300-series-bar-refrigerator-hrf90ug2-62402.html" TargetMode="External"/><Relationship Id="rId262" Type="http://schemas.openxmlformats.org/officeDocument/2006/relationships/hyperlink" Target="https://deltabreez.com/50F.php" TargetMode="External"/><Relationship Id="rId383" Type="http://schemas.openxmlformats.org/officeDocument/2006/relationships/hyperlink" Target="https://iportal.se.com/Contents/docs/SQD-ATS01N106FT.PDF" TargetMode="External"/><Relationship Id="rId140" Type="http://schemas.openxmlformats.org/officeDocument/2006/relationships/hyperlink" Target="https://www.samsung.com/uk/business/dishwashers/built-in/dw4000rm-dw50dg450b00-energy-efficiency-flexible-3rd-rack-auto-adjust-9-place-settings-white--dw50dg430b00eu/" TargetMode="External"/><Relationship Id="rId261" Type="http://schemas.openxmlformats.org/officeDocument/2006/relationships/hyperlink" Target="https://www.documents.philips.com/assets/20220122/91d13f97834046b4aa7bae2500bd9bba.pdf" TargetMode="External"/><Relationship Id="rId382" Type="http://schemas.openxmlformats.org/officeDocument/2006/relationships/hyperlink" Target="https://eshop.se.com/sg/variable-speed-drive-altivar-machine-atv320-1-5kw-380-to-500v-3-phases-book-atv320u15n4b.html" TargetMode="External"/><Relationship Id="rId5" Type="http://schemas.openxmlformats.org/officeDocument/2006/relationships/hyperlink" Target="https://fanco.com.au/wp-content/uploads/spec-sheets/breeze-ac-specsheet.pdf" TargetMode="External"/><Relationship Id="rId147" Type="http://schemas.openxmlformats.org/officeDocument/2006/relationships/hyperlink" Target="https://acc.philips.com.au/c-p/SCF291_00/steriliser" TargetMode="External"/><Relationship Id="rId268" Type="http://schemas.openxmlformats.org/officeDocument/2006/relationships/hyperlink" Target="https://global.download.synology.com/download/Document/Hardware/ProductSpec/RackStation/23-year/RS2423RP%2B/enu/Product_Spec_RS2423RP%2B_enu.pdf" TargetMode="External"/><Relationship Id="rId389" Type="http://schemas.openxmlformats.org/officeDocument/2006/relationships/hyperlink" Target="https://support.industry.siemens.com/teddatasheet/?caller=SIOS&amp;format=pdf&amp;language=en&amp;mlfbs=6ES7212-1AE40-0XB0" TargetMode="External"/><Relationship Id="rId6" Type="http://schemas.openxmlformats.org/officeDocument/2006/relationships/hyperlink" Target="https://handbook.ashrae.org/Handbooks/F17/SI/f17_ch18/f17_ch18_si.aspx" TargetMode="External"/><Relationship Id="rId146" Type="http://schemas.openxmlformats.org/officeDocument/2006/relationships/hyperlink" Target="https://www.novita.com.sg/usermanual/a24sw55.pdf" TargetMode="External"/><Relationship Id="rId267" Type="http://schemas.openxmlformats.org/officeDocument/2006/relationships/hyperlink" Target="https://www.cisco.com/c/en/us/td/docs/unified_computing/ucs/hw/site-prep-guide/ucs_siteprep_chapter_011.html" TargetMode="External"/><Relationship Id="rId388" Type="http://schemas.openxmlformats.org/officeDocument/2006/relationships/hyperlink" Target="https://www.meanwell.com/Upload/PDF/NPB-120/NPB-120-spec.pdf" TargetMode="External"/><Relationship Id="rId7" Type="http://schemas.openxmlformats.org/officeDocument/2006/relationships/hyperlink" Target="https://handbook.ashrae.org/Handbooks/F17/SI/f17_ch18/f17_ch18_si.aspx" TargetMode="External"/><Relationship Id="rId145" Type="http://schemas.openxmlformats.org/officeDocument/2006/relationships/hyperlink" Target="https://handbook.ashrae.org/Handbooks/F17/SI/f17_ch18/f17_ch18_si.aspx" TargetMode="External"/><Relationship Id="rId266" Type="http://schemas.openxmlformats.org/officeDocument/2006/relationships/hyperlink" Target="https://docs.nvidia.com/dgx/dgxh100-user-guide/introduction-to-dgxh100.html" TargetMode="External"/><Relationship Id="rId387" Type="http://schemas.openxmlformats.org/officeDocument/2006/relationships/hyperlink" Target="https://www.phoenixcontact.com/en-us/products/power-supply-unit-quint4-ps-1ac-24dc-10-f-1672244" TargetMode="External"/><Relationship Id="rId8" Type="http://schemas.openxmlformats.org/officeDocument/2006/relationships/hyperlink" Target="https://handbook.ashrae.org/Handbooks/F17/SI/f17_ch18/f17_ch18_si.aspx" TargetMode="External"/><Relationship Id="rId144" Type="http://schemas.openxmlformats.org/officeDocument/2006/relationships/hyperlink" Target="https://www.hoshizaki.com/Docs/techsupport/pocketguides/prplbk.pdf" TargetMode="External"/><Relationship Id="rId265" Type="http://schemas.openxmlformats.org/officeDocument/2006/relationships/hyperlink" Target="https://docs.nvidia.com/dgx/dgxh100-user-guide/introduction-to-dgxh100.html" TargetMode="External"/><Relationship Id="rId386" Type="http://schemas.openxmlformats.org/officeDocument/2006/relationships/hyperlink" Target="https://www.phoenixcontact.com/en-us/products/power-supply-unit-quint4-ps-1ac-24dc-10-f-1672244" TargetMode="External"/><Relationship Id="rId260" Type="http://schemas.openxmlformats.org/officeDocument/2006/relationships/hyperlink" Target="https://www.philips.com/c-p/AC1715_10/air-purifier-1000i-series" TargetMode="External"/><Relationship Id="rId381" Type="http://schemas.openxmlformats.org/officeDocument/2006/relationships/hyperlink" Target="https://library.industrialsolutions.abb.com/publibrary/checkout/9T10A1007-TTD?TNR=Data+Sheets%7C9T10A1007-TTD%7CPDF%2F1000" TargetMode="External"/><Relationship Id="rId380" Type="http://schemas.openxmlformats.org/officeDocument/2006/relationships/hyperlink" Target="https://eshop.se.com/in/atv320u07n4c-atv320-0-75kw-400v-3ph-compact-control-v.html" TargetMode="External"/><Relationship Id="rId139" Type="http://schemas.openxmlformats.org/officeDocument/2006/relationships/hyperlink" Target="https://www.hobartcorp.com/sites/default/files/webdam-assets/LXeH%20High%20Temp%20Undercounter%20Dishwasher%20Spec%20Sheet%20F40902%20(09-22).pdf" TargetMode="External"/><Relationship Id="rId138" Type="http://schemas.openxmlformats.org/officeDocument/2006/relationships/hyperlink" Target="https://handbook.ashrae.org/Handbooks/F17/SI/f17_ch18/f17_ch18_si.aspx" TargetMode="External"/><Relationship Id="rId259" Type="http://schemas.openxmlformats.org/officeDocument/2006/relationships/hyperlink" Target="https://ext.vt.edu/content/pubs_ext_vt_edu/en/2901/2901-9014/2901-9014.html" TargetMode="External"/><Relationship Id="rId137" Type="http://schemas.openxmlformats.org/officeDocument/2006/relationships/hyperlink" Target="https://www.smeg.com/ie/products/SF6300TVX" TargetMode="External"/><Relationship Id="rId258" Type="http://schemas.openxmlformats.org/officeDocument/2006/relationships/hyperlink" Target="https://www.dimplex.com.au/sites/g/files/emiian331/files/2020-07/Specsheets_CDE24ECCB_e2bezd.pdf" TargetMode="External"/><Relationship Id="rId379" Type="http://schemas.openxmlformats.org/officeDocument/2006/relationships/hyperlink" Target="https://www.se.com/in/en/product-range/2560-proclima/" TargetMode="External"/><Relationship Id="rId132" Type="http://schemas.openxmlformats.org/officeDocument/2006/relationships/hyperlink" Target="https://handbook.ashrae.org/Handbooks/F25/SI/F25_Ch18/F25_Ch18_si.aspx" TargetMode="External"/><Relationship Id="rId253" Type="http://schemas.openxmlformats.org/officeDocument/2006/relationships/hyperlink" Target="https://www.energystar.gov/productfinder/product/certified-evse-ac-output/details/3998895/export/pdf" TargetMode="External"/><Relationship Id="rId374" Type="http://schemas.openxmlformats.org/officeDocument/2006/relationships/hyperlink" Target="https://media.miele.com/downloads/n-/gb/FS_11741310_GBE_GB-en-GB.pdf" TargetMode="External"/><Relationship Id="rId131" Type="http://schemas.openxmlformats.org/officeDocument/2006/relationships/hyperlink" Target="https://handbook.ashrae.org/Handbooks/F17/SI/f17_ch18/f17_ch18_si.aspx" TargetMode="External"/><Relationship Id="rId252" Type="http://schemas.openxmlformats.org/officeDocument/2006/relationships/hyperlink" Target="https://data.yamaha.com/files/download/other_assets/8/656218/ma2120_en_sg_a0.pdf" TargetMode="External"/><Relationship Id="rId373" Type="http://schemas.openxmlformats.org/officeDocument/2006/relationships/hyperlink" Target="https://www.hoshizaki.com/Docs/techsupport/pocketguides/prplbk.pdf" TargetMode="External"/><Relationship Id="rId130" Type="http://schemas.openxmlformats.org/officeDocument/2006/relationships/hyperlink" Target="https://handbook.ashrae.org/Handbooks/F17/SI/f17_ch18/f17_ch18_si.aspx" TargetMode="External"/><Relationship Id="rId251" Type="http://schemas.openxmlformats.org/officeDocument/2006/relationships/hyperlink" Target="https://www.icomjapan.com/lineup/products/IC-FR5300_NXDN/" TargetMode="External"/><Relationship Id="rId372" Type="http://schemas.openxmlformats.org/officeDocument/2006/relationships/hyperlink" Target="https://www.philips.co.uk/shop/UK_Garment_Care_Essentials/shop/UK_Garment_Care_Essentials/personal-care/face-shavers/shaver-series-5000-wet-dry-electric-shaver/p/S5885_35" TargetMode="External"/><Relationship Id="rId250" Type="http://schemas.openxmlformats.org/officeDocument/2006/relationships/hyperlink" Target="https://www.se.com/in/en/faqs/FA316686/" TargetMode="External"/><Relationship Id="rId371" Type="http://schemas.openxmlformats.org/officeDocument/2006/relationships/hyperlink" Target="https://www.panasonic.com/content/dam/Panasonic/MEA/pdf-download/Beauty/EH-HS41_OI.pdf" TargetMode="External"/><Relationship Id="rId136" Type="http://schemas.openxmlformats.org/officeDocument/2006/relationships/hyperlink" Target="https://handbook.ashrae.org/Handbooks/F17/SI/f17_ch18/f17_ch18_si.aspx" TargetMode="External"/><Relationship Id="rId257" Type="http://schemas.openxmlformats.org/officeDocument/2006/relationships/hyperlink" Target="https://www.thermogroup.com.au/product/fs66e-straight-round-free-standing-heated-towel-rail/" TargetMode="External"/><Relationship Id="rId378" Type="http://schemas.openxmlformats.org/officeDocument/2006/relationships/hyperlink" Target="https://www.scribd.com/document/366543489/IC60" TargetMode="External"/><Relationship Id="rId135" Type="http://schemas.openxmlformats.org/officeDocument/2006/relationships/hyperlink" Target="https://handbook.ashrae.org/Handbooks/F17/SI/f17_ch18/f17_ch18_si.aspx" TargetMode="External"/><Relationship Id="rId256" Type="http://schemas.openxmlformats.org/officeDocument/2006/relationships/hyperlink" Target="https://handbook.ashrae.org/Handbooks/F17/SI/f17_ch18/f17_ch18_si.aspx" TargetMode="External"/><Relationship Id="rId377" Type="http://schemas.openxmlformats.org/officeDocument/2006/relationships/hyperlink" Target="https://www.etna-ct.com/media/andlswed/energy-rating-etna-dorado-instant-medium-and-large.pdf" TargetMode="External"/><Relationship Id="rId134" Type="http://schemas.openxmlformats.org/officeDocument/2006/relationships/hyperlink" Target="https://www.documents.philips.com/assets/20240213/4e438470cb0f4d0d8ddcb11500d56a55.pdf" TargetMode="External"/><Relationship Id="rId255" Type="http://schemas.openxmlformats.org/officeDocument/2006/relationships/hyperlink" Target="https://www.stiebel-eltron.com/en/home/products-solutions/dhw/small_water_heaterswallandfloormountedcylinders/small_water_heaters5to15l/shc-stiebel/shc-15/technical-data.product.pdf" TargetMode="External"/><Relationship Id="rId376" Type="http://schemas.openxmlformats.org/officeDocument/2006/relationships/hyperlink" Target="https://www.forbo.com/movement/en-gl/about-us/winning-solutions/schiphol-airport/pvyp7v" TargetMode="External"/><Relationship Id="rId133" Type="http://schemas.openxmlformats.org/officeDocument/2006/relationships/hyperlink" Target="https://handbook.ashrae.org/Handbooks/F17/SI/f17_ch18/f17_ch18_si.aspx" TargetMode="External"/><Relationship Id="rId254" Type="http://schemas.openxmlformats.org/officeDocument/2006/relationships/hyperlink" Target="https://smartsocieties.abb.com/r/035e69a04014e8f208baca3a36681789.pdf" TargetMode="External"/><Relationship Id="rId375" Type="http://schemas.openxmlformats.org/officeDocument/2006/relationships/hyperlink" Target="https://handbook.ashrae.org/Handbooks/F17/SI/f17_ch18/f17_ch18_si.aspx" TargetMode="External"/><Relationship Id="rId172" Type="http://schemas.openxmlformats.org/officeDocument/2006/relationships/hyperlink" Target="https://documents.thermofisher.com/TFS-Assets/LED/Datasheets/TSG205SA-technical-data-sheet.pdf" TargetMode="External"/><Relationship Id="rId293" Type="http://schemas.openxmlformats.org/officeDocument/2006/relationships/hyperlink" Target="https://handbook.ashrae.org/Handbooks/F17/SI/f17_ch18/f17_ch18_si.aspx" TargetMode="External"/><Relationship Id="rId171" Type="http://schemas.openxmlformats.org/officeDocument/2006/relationships/hyperlink" Target="https://www.fif.com.pl/img/cms/katalogi/2024/2024%20FF%20Product%20catalogue%20EN%20v2.pdf" TargetMode="External"/><Relationship Id="rId292" Type="http://schemas.openxmlformats.org/officeDocument/2006/relationships/hyperlink" Target="https://handbook.ashrae.org/Handbooks/F17/SI/f17_ch18/f17_ch18_si.aspx" TargetMode="External"/><Relationship Id="rId170" Type="http://schemas.openxmlformats.org/officeDocument/2006/relationships/hyperlink" Target="https://www.samsav.com/product/motorized-ust-alr-projector-screen-aj.html" TargetMode="External"/><Relationship Id="rId291" Type="http://schemas.openxmlformats.org/officeDocument/2006/relationships/hyperlink" Target="https://handbook.ashrae.org/Handbooks/F25/SI/F25_Ch18/F25_Ch18_si.aspx" TargetMode="External"/><Relationship Id="rId290" Type="http://schemas.openxmlformats.org/officeDocument/2006/relationships/hyperlink" Target="https://handbook.ashrae.org/Handbooks/F17/SI/f17_ch18/f17_ch18_si.aspx" TargetMode="External"/><Relationship Id="rId165" Type="http://schemas.openxmlformats.org/officeDocument/2006/relationships/hyperlink" Target="https://www.blackmagicdesign.com/sg/products/atemmini/techspecs" TargetMode="External"/><Relationship Id="rId286" Type="http://schemas.openxmlformats.org/officeDocument/2006/relationships/hyperlink" Target="https://handbook.ashrae.org/Handbooks/F17/SI/f17_ch18/f17_ch18_si.aspx" TargetMode="External"/><Relationship Id="rId164" Type="http://schemas.openxmlformats.org/officeDocument/2006/relationships/hyperlink" Target="https://www.shure.com/en-US/docs/guide/BLX" TargetMode="External"/><Relationship Id="rId285" Type="http://schemas.openxmlformats.org/officeDocument/2006/relationships/hyperlink" Target="https://handbook.ashrae.org/Handbooks/F17/SI/f17_ch18/f17_ch18_si.aspx" TargetMode="External"/><Relationship Id="rId163" Type="http://schemas.openxmlformats.org/officeDocument/2006/relationships/hyperlink" Target="https://usa.yamaha.com/products/proaudio/mixers/tf/specs.html" TargetMode="External"/><Relationship Id="rId284" Type="http://schemas.openxmlformats.org/officeDocument/2006/relationships/hyperlink" Target="https://www.moffat.com.au/sites/default/files/products/specification/OES_6_10_MINI_MOBILE_AN.pdf" TargetMode="External"/><Relationship Id="rId162" Type="http://schemas.openxmlformats.org/officeDocument/2006/relationships/hyperlink" Target="https://usa.yamaha.com/products/proaudio/speakers/hs_series/specs.html" TargetMode="External"/><Relationship Id="rId283" Type="http://schemas.openxmlformats.org/officeDocument/2006/relationships/hyperlink" Target="https://www.cisco.com/site/us/en/products/networking/optical-networking/network-convergence-system-1000-series/models-comparison/index.html" TargetMode="External"/><Relationship Id="rId169" Type="http://schemas.openxmlformats.org/officeDocument/2006/relationships/hyperlink" Target="https://www.crestron.com/Products/Catalog/Control-and-Management/Control-System/Wall-Mount/RMC4" TargetMode="External"/><Relationship Id="rId168" Type="http://schemas.openxmlformats.org/officeDocument/2006/relationships/hyperlink" Target="https://www.cisco.com/c/dam/en/us/td/docs/telepresence/endpoint/technical-papers/cisco-collaboration-devices-power-consumption.pdf" TargetMode="External"/><Relationship Id="rId289" Type="http://schemas.openxmlformats.org/officeDocument/2006/relationships/hyperlink" Target="https://handbook.ashrae.org/Handbooks/F17/SI/f17_ch18/f17_ch18_si.aspx" TargetMode="External"/><Relationship Id="rId167" Type="http://schemas.openxmlformats.org/officeDocument/2006/relationships/hyperlink" Target="https://warehousesound.au/r/jandsSTAGE12manual.pdf" TargetMode="External"/><Relationship Id="rId288" Type="http://schemas.openxmlformats.org/officeDocument/2006/relationships/hyperlink" Target="https://handbook.ashrae.org/Handbooks/F17/SI/f17_ch18/f17_ch18_si.aspx" TargetMode="External"/><Relationship Id="rId166" Type="http://schemas.openxmlformats.org/officeDocument/2006/relationships/hyperlink" Target="https://support.apple.com/en-ie/102027" TargetMode="External"/><Relationship Id="rId287" Type="http://schemas.openxmlformats.org/officeDocument/2006/relationships/hyperlink" Target="https://tools.electroluxprofessional.com/Mirror/Doc/HB/HB_027006800_1_2_027.0068.00-CUOCIPASTA_CR40-42V_EN.pdf?version=1773679559" TargetMode="External"/><Relationship Id="rId161" Type="http://schemas.openxmlformats.org/officeDocument/2006/relationships/hyperlink" Target="https://usa.yamaha.com/products/proaudio/speakers/hs_series/specs.html" TargetMode="External"/><Relationship Id="rId282" Type="http://schemas.openxmlformats.org/officeDocument/2006/relationships/hyperlink" Target="https://starlink.com/en-il/support/article/18836c7e-2d97-6153-fe67-c18427bd0558" TargetMode="External"/><Relationship Id="rId160" Type="http://schemas.openxmlformats.org/officeDocument/2006/relationships/hyperlink" Target="https://manuals.denon.com/HEOSAMP/ALL/en/BONDSYqdqwlzut.php" TargetMode="External"/><Relationship Id="rId281" Type="http://schemas.openxmlformats.org/officeDocument/2006/relationships/hyperlink" Target="https://matrix.taitradio.com/__data/assets/pdf_file/0006/132873/Tait_SS_TB8100_Transportable_Repeater_.pdf" TargetMode="External"/><Relationship Id="rId280" Type="http://schemas.openxmlformats.org/officeDocument/2006/relationships/hyperlink" Target="https://www.itu.int/rec/dologin_pub.asp?id=T-REC-L.Sup45-202112-I%21%21PDF-E&amp;lang=e&amp;type=items" TargetMode="External"/><Relationship Id="rId159" Type="http://schemas.openxmlformats.org/officeDocument/2006/relationships/hyperlink" Target="https://www.troteclaser.com/static/pdf/speedy-100/operating-manual-Speedy-100R-8063-en-us.pdf" TargetMode="External"/><Relationship Id="rId154" Type="http://schemas.openxmlformats.org/officeDocument/2006/relationships/hyperlink" Target="https://files.support.epson.com/docid/cpd6/cpd63079/source/specifications/reference/plebl210w_265f/spex_electrical_plebl210w_l265f.html" TargetMode="External"/><Relationship Id="rId275" Type="http://schemas.openxmlformats.org/officeDocument/2006/relationships/hyperlink" Target="https://www.se.com/ie/en/faqs/FA156173/" TargetMode="External"/><Relationship Id="rId396" Type="http://schemas.openxmlformats.org/officeDocument/2006/relationships/hyperlink" Target="https://www.se.com/ie/en/faqs/FA156173/" TargetMode="External"/><Relationship Id="rId153" Type="http://schemas.openxmlformats.org/officeDocument/2006/relationships/hyperlink" Target="https://us.ipevo.com/pages/v4k-ultra-specs" TargetMode="External"/><Relationship Id="rId274" Type="http://schemas.openxmlformats.org/officeDocument/2006/relationships/hyperlink" Target="https://opengear.com/brochures/product-cm7100.pdf" TargetMode="External"/><Relationship Id="rId395" Type="http://schemas.openxmlformats.org/officeDocument/2006/relationships/hyperlink" Target="https://www.victronenergy.com/media/pg/MultiPlus-II_4k_4k5_6k5_10k_230V/en/technical-specifications-mp-ii-k-230v.html" TargetMode="External"/><Relationship Id="rId152" Type="http://schemas.openxmlformats.org/officeDocument/2006/relationships/hyperlink" Target="https://handbook.ashrae.org/Handbooks/F17/SI/f17_ch18/f17_ch18_si.aspx" TargetMode="External"/><Relationship Id="rId273" Type="http://schemas.openxmlformats.org/officeDocument/2006/relationships/hyperlink" Target="https://assets.aten.com/product/manual/cn8000a_um_w_2021-01-04.pdf" TargetMode="External"/><Relationship Id="rId394" Type="http://schemas.openxmlformats.org/officeDocument/2006/relationships/hyperlink" Target="https://www.fronius.com/en-gb/uk/solar-energy/installers-partners/technical-data/all-products/inverters/fronius-primo-gen24/fronius-primo-gen24-5-0" TargetMode="External"/><Relationship Id="rId151" Type="http://schemas.openxmlformats.org/officeDocument/2006/relationships/hyperlink" Target="https://handbook.ashrae.org/Handbooks/F17/SI/f17_ch18/f17_ch18_si.aspx" TargetMode="External"/><Relationship Id="rId272" Type="http://schemas.openxmlformats.org/officeDocument/2006/relationships/hyperlink" Target="https://techdocs.f5.com/en-us/hw-platforms/platform-guide-i2000i4000-series/title--platform-specifications.html" TargetMode="External"/><Relationship Id="rId393" Type="http://schemas.openxmlformats.org/officeDocument/2006/relationships/hyperlink" Target="https://www.deepseaelectronics.com/genset/auto-mains-utility-failure-control-modules/dse7320-mkii" TargetMode="External"/><Relationship Id="rId158" Type="http://schemas.openxmlformats.org/officeDocument/2006/relationships/hyperlink" Target="https://cpb-us-e1.wpmucdn.com/blogs.gwu.edu/dist/7/2667/files/2019/09/F170_F270_F370-Site-Preparation-Guide-English.pdf" TargetMode="External"/><Relationship Id="rId279" Type="http://schemas.openxmlformats.org/officeDocument/2006/relationships/hyperlink" Target="https://www.cubic.com/sites/default/files/CMPS_Datasheet_M3C-BST.pdf" TargetMode="External"/><Relationship Id="rId157" Type="http://schemas.openxmlformats.org/officeDocument/2006/relationships/hyperlink" Target="https://help.prusa3d.com/article/faq-frequently-asked-questions_1932?product=xl" TargetMode="External"/><Relationship Id="rId278" Type="http://schemas.openxmlformats.org/officeDocument/2006/relationships/hyperlink" Target="https://www.se.com/us/en/product/ACRC301S/uniflair-inrow-rc-300mm-chilled-water-100240v-50-60-hz/" TargetMode="External"/><Relationship Id="rId399" Type="http://schemas.openxmlformats.org/officeDocument/2006/relationships/hyperlink" Target="https://www.beckhoff.com/en-us/products/ipc/pcs/accessories/cu8130-0240.html" TargetMode="External"/><Relationship Id="rId156" Type="http://schemas.openxmlformats.org/officeDocument/2006/relationships/hyperlink" Target="https://www.apple.com/environment/pdf/products/notebooks/14-inch_MacBook_Pro_PER_Jan2023.pdf" TargetMode="External"/><Relationship Id="rId277" Type="http://schemas.openxmlformats.org/officeDocument/2006/relationships/hyperlink" Target="https://acinfinity.com/cloudplate-t1-quiet-rack-cooling-fan-system-1u-exhaust/" TargetMode="External"/><Relationship Id="rId398" Type="http://schemas.openxmlformats.org/officeDocument/2006/relationships/hyperlink" Target="https://www.se.com/in/en/product-range/2560-proclima/" TargetMode="External"/><Relationship Id="rId155" Type="http://schemas.openxmlformats.org/officeDocument/2006/relationships/hyperlink" Target="https://www.benq.com/id-id/business/ifp/rm6503/specifications.html" TargetMode="External"/><Relationship Id="rId276" Type="http://schemas.openxmlformats.org/officeDocument/2006/relationships/hyperlink" Target="https://www.se.com/in/en/faqs/FA316686/" TargetMode="External"/><Relationship Id="rId397" Type="http://schemas.openxmlformats.org/officeDocument/2006/relationships/hyperlink" Target="https://www.belimo.com/mam/general-documents/datasheets/en-gb/belimo_LM24A_datasheet_en-gb.pdf" TargetMode="External"/><Relationship Id="rId40" Type="http://schemas.openxmlformats.org/officeDocument/2006/relationships/hyperlink" Target="https://help.ui.com/hc/en-us/articles/115000263008-PoE-Availability-and-Modes" TargetMode="External"/><Relationship Id="rId42" Type="http://schemas.openxmlformats.org/officeDocument/2006/relationships/hyperlink" Target="https://help.ui.com/hc/en-us/articles/115000263008-PoE-Availability-and-Modes" TargetMode="External"/><Relationship Id="rId41" Type="http://schemas.openxmlformats.org/officeDocument/2006/relationships/hyperlink" Target="https://help.ui.com/hc/en-us/articles/115000263008-PoE-Availability-and-Modes" TargetMode="External"/><Relationship Id="rId44" Type="http://schemas.openxmlformats.org/officeDocument/2006/relationships/hyperlink" Target="https://help.ui.com/hc/en-us/articles/115000263008-PoE-Availability-and-Modes" TargetMode="External"/><Relationship Id="rId43" Type="http://schemas.openxmlformats.org/officeDocument/2006/relationships/hyperlink" Target="https://help.ui.com/hc/en-us/articles/115000263008-PoE-Availability-and-Modes" TargetMode="External"/><Relationship Id="rId46" Type="http://schemas.openxmlformats.org/officeDocument/2006/relationships/hyperlink" Target="https://www.clipsal.com/products/lighting/clipsal-lighting" TargetMode="External"/><Relationship Id="rId45" Type="http://schemas.openxmlformats.org/officeDocument/2006/relationships/hyperlink" Target="https://www.clipsal.com/products/lighting/clipsal-lighting" TargetMode="External"/><Relationship Id="rId48" Type="http://schemas.openxmlformats.org/officeDocument/2006/relationships/hyperlink" Target="https://www.clipsal.com/products/lighting/clipsal-lighting" TargetMode="External"/><Relationship Id="rId47" Type="http://schemas.openxmlformats.org/officeDocument/2006/relationships/hyperlink" Target="https://www.clipsal.com/products/lighting/clipsal-lighting" TargetMode="External"/><Relationship Id="rId49" Type="http://schemas.openxmlformats.org/officeDocument/2006/relationships/hyperlink" Target="https://www.clipsal.com/products/lighting/clipsal-lighting" TargetMode="External"/><Relationship Id="rId31" Type="http://schemas.openxmlformats.org/officeDocument/2006/relationships/hyperlink" Target="https://help.ui.com/hc/en-us/articles/115000263008-PoE-Availability-and-Modes" TargetMode="External"/><Relationship Id="rId30" Type="http://schemas.openxmlformats.org/officeDocument/2006/relationships/hyperlink" Target="https://help.ui.com/hc/en-us/articles/115000263008-PoE-Availability-and-Modes" TargetMode="External"/><Relationship Id="rId33" Type="http://schemas.openxmlformats.org/officeDocument/2006/relationships/hyperlink" Target="https://help.ui.com/hc/en-us/articles/115000263008-PoE-Availability-and-Modes" TargetMode="External"/><Relationship Id="rId32" Type="http://schemas.openxmlformats.org/officeDocument/2006/relationships/hyperlink" Target="https://help.ui.com/hc/en-us/articles/115000263008-PoE-Availability-and-Modes" TargetMode="External"/><Relationship Id="rId35" Type="http://schemas.openxmlformats.org/officeDocument/2006/relationships/hyperlink" Target="https://help.ui.com/hc/en-us/articles/115000263008-PoE-Availability-and-Modes" TargetMode="External"/><Relationship Id="rId34" Type="http://schemas.openxmlformats.org/officeDocument/2006/relationships/hyperlink" Target="https://help.ui.com/hc/en-us/articles/115000263008-PoE-Availability-and-Modes" TargetMode="External"/><Relationship Id="rId37" Type="http://schemas.openxmlformats.org/officeDocument/2006/relationships/hyperlink" Target="https://help.ui.com/hc/en-us/articles/115000263008-PoE-Availability-and-Modes" TargetMode="External"/><Relationship Id="rId36" Type="http://schemas.openxmlformats.org/officeDocument/2006/relationships/hyperlink" Target="https://help.ui.com/hc/en-us/articles/115000263008-PoE-Availability-and-Modes" TargetMode="External"/><Relationship Id="rId39" Type="http://schemas.openxmlformats.org/officeDocument/2006/relationships/hyperlink" Target="https://help.ui.com/hc/en-us/articles/115000263008-PoE-Availability-and-Modes" TargetMode="External"/><Relationship Id="rId38" Type="http://schemas.openxmlformats.org/officeDocument/2006/relationships/hyperlink" Target="https://help.ui.com/hc/en-us/articles/115000263008-PoE-Availability-and-Modes" TargetMode="External"/><Relationship Id="rId20" Type="http://schemas.openxmlformats.org/officeDocument/2006/relationships/hyperlink" Target="https://handbook.ashrae.org/Handbooks/F17/SI/f17_ch18/f17_ch18_si.aspx" TargetMode="External"/><Relationship Id="rId22" Type="http://schemas.openxmlformats.org/officeDocument/2006/relationships/hyperlink" Target="https://handbook.ashrae.org/Handbooks/F17/SI/f17_ch18/f17_ch18_si.aspx" TargetMode="External"/><Relationship Id="rId21" Type="http://schemas.openxmlformats.org/officeDocument/2006/relationships/hyperlink" Target="https://handbook.ashrae.org/Handbooks/F17/SI/f17_ch18/f17_ch18_si.aspx" TargetMode="External"/><Relationship Id="rId24" Type="http://schemas.openxmlformats.org/officeDocument/2006/relationships/hyperlink" Target="https://handbook.ashrae.org/Handbooks/F17/SI/f17_ch18/f17_ch18_si.aspx" TargetMode="External"/><Relationship Id="rId23" Type="http://schemas.openxmlformats.org/officeDocument/2006/relationships/hyperlink" Target="https://handbook.ashrae.org/Handbooks/F17/SI/f17_ch18/f17_ch18_si.aspx" TargetMode="External"/><Relationship Id="rId409" Type="http://schemas.openxmlformats.org/officeDocument/2006/relationships/hyperlink" Target="https://www.universal-robots.com/manuals/EN/HTML/SW5_25/Content/prod_oem_cb_all/oem_cb_all_specs_root.htm" TargetMode="External"/><Relationship Id="rId404" Type="http://schemas.openxmlformats.org/officeDocument/2006/relationships/hyperlink" Target="https://www.pic-control.com/energy-audit-with-a-portable-power-meter/" TargetMode="External"/><Relationship Id="rId403" Type="http://schemas.openxmlformats.org/officeDocument/2006/relationships/hyperlink" Target="https://data.yamaha.com/files/download/other_assets/8/656218/ma2120_en_sg_a0.pdf" TargetMode="External"/><Relationship Id="rId402" Type="http://schemas.openxmlformats.org/officeDocument/2006/relationships/hyperlink" Target="https://www.se.com/in/en/product-range/2560-proclima/" TargetMode="External"/><Relationship Id="rId401" Type="http://schemas.openxmlformats.org/officeDocument/2006/relationships/hyperlink" Target="https://www.mx.intermatic.com/catalog/mx/solutions/pool-and-spa/pump-control/pool-and-spa-panels/t10604r" TargetMode="External"/><Relationship Id="rId408" Type="http://schemas.openxmlformats.org/officeDocument/2006/relationships/hyperlink" Target="https://www.se.com/in/en/faqs/FA316686/" TargetMode="External"/><Relationship Id="rId407" Type="http://schemas.openxmlformats.org/officeDocument/2006/relationships/hyperlink" Target="https://www.brother.co.jp/product/scanner/ads2800w/spec/index.aspx" TargetMode="External"/><Relationship Id="rId406" Type="http://schemas.openxmlformats.org/officeDocument/2006/relationships/hyperlink" Target="https://www.se.com/in/en/faqs/FA316686/" TargetMode="External"/><Relationship Id="rId405" Type="http://schemas.openxmlformats.org/officeDocument/2006/relationships/hyperlink" Target="https://cdn.commerce.boschsecurity.com/public/documents/DCNM_DVT_Data_sheet_enUS_9007222686477195.pdf" TargetMode="External"/><Relationship Id="rId26" Type="http://schemas.openxmlformats.org/officeDocument/2006/relationships/hyperlink" Target="https://handbook.ashrae.org/Handbooks/F17/SI/f17_ch18/f17_ch18_si.aspx" TargetMode="External"/><Relationship Id="rId25" Type="http://schemas.openxmlformats.org/officeDocument/2006/relationships/hyperlink" Target="https://handbook.ashrae.org/Handbooks/F17/SI/f17_ch18/f17_ch18_si.aspx" TargetMode="External"/><Relationship Id="rId28" Type="http://schemas.openxmlformats.org/officeDocument/2006/relationships/hyperlink" Target="https://handbook.ashrae.org/Handbooks/F17/SI/f17_ch18/f17_ch18_si.aspx" TargetMode="External"/><Relationship Id="rId27" Type="http://schemas.openxmlformats.org/officeDocument/2006/relationships/hyperlink" Target="https://handbook.ashrae.org/Handbooks/F17/SI/f17_ch18/f17_ch18_si.aspx" TargetMode="External"/><Relationship Id="rId400" Type="http://schemas.openxmlformats.org/officeDocument/2006/relationships/hyperlink" Target="https://www.innowater.com/en/control-dosing/monitor-controller/" TargetMode="External"/><Relationship Id="rId29" Type="http://schemas.openxmlformats.org/officeDocument/2006/relationships/hyperlink" Target="https://help.ui.com/hc/en-us/articles/115000263008-PoE-Availability-and-Modes" TargetMode="External"/><Relationship Id="rId11" Type="http://schemas.openxmlformats.org/officeDocument/2006/relationships/hyperlink" Target="https://handbook.ashrae.org/Handbooks/F17/SI/f17_ch18/f17_ch18_si.aspx" TargetMode="External"/><Relationship Id="rId10" Type="http://schemas.openxmlformats.org/officeDocument/2006/relationships/hyperlink" Target="https://handbook.ashrae.org/Handbooks/F17/SI/f17_ch18/f17_ch18_si.aspx" TargetMode="External"/><Relationship Id="rId13" Type="http://schemas.openxmlformats.org/officeDocument/2006/relationships/hyperlink" Target="https://handbook.ashrae.org/Handbooks/F17/SI/f17_ch18/f17_ch18_si.aspx" TargetMode="External"/><Relationship Id="rId12" Type="http://schemas.openxmlformats.org/officeDocument/2006/relationships/hyperlink" Target="https://handbook.ashrae.org/Handbooks/F17/SI/f17_ch18/f17_ch18_si.aspx" TargetMode="External"/><Relationship Id="rId15" Type="http://schemas.openxmlformats.org/officeDocument/2006/relationships/hyperlink" Target="https://handbook.ashrae.org/Handbooks/F17/SI/f17_ch18/f17_ch18_si.aspx" TargetMode="External"/><Relationship Id="rId14" Type="http://schemas.openxmlformats.org/officeDocument/2006/relationships/hyperlink" Target="https://handbook.ashrae.org/Handbooks/F17/SI/f17_ch18/f17_ch18_si.aspx" TargetMode="External"/><Relationship Id="rId17" Type="http://schemas.openxmlformats.org/officeDocument/2006/relationships/hyperlink" Target="https://handbook.ashrae.org/Handbooks/F17/SI/f17_ch18/f17_ch18_si.aspx" TargetMode="External"/><Relationship Id="rId16" Type="http://schemas.openxmlformats.org/officeDocument/2006/relationships/hyperlink" Target="https://handbook.ashrae.org/Handbooks/F17/SI/f17_ch18/f17_ch18_si.aspx" TargetMode="External"/><Relationship Id="rId19" Type="http://schemas.openxmlformats.org/officeDocument/2006/relationships/hyperlink" Target="https://handbook.ashrae.org/Handbooks/F17/SI/f17_ch18/f17_ch18_si.aspx" TargetMode="External"/><Relationship Id="rId18" Type="http://schemas.openxmlformats.org/officeDocument/2006/relationships/hyperlink" Target="https://handbook.ashrae.org/Handbooks/F17/SI/f17_ch18/f17_ch18_si.aspx" TargetMode="External"/><Relationship Id="rId84" Type="http://schemas.openxmlformats.org/officeDocument/2006/relationships/hyperlink" Target="https://pubs.lenovo.com/sr250/server_specifications" TargetMode="External"/><Relationship Id="rId83" Type="http://schemas.openxmlformats.org/officeDocument/2006/relationships/hyperlink" Target="https://pubs.lenovo.com/sr250/server_specifications" TargetMode="External"/><Relationship Id="rId86" Type="http://schemas.openxmlformats.org/officeDocument/2006/relationships/hyperlink" Target="https://media.distrelec.com/Web/Downloads/_t/ds/SMT1500I_eng_tds.pdf" TargetMode="External"/><Relationship Id="rId85" Type="http://schemas.openxmlformats.org/officeDocument/2006/relationships/hyperlink" Target="https://www.ibm.com/support/pages/rack-configuration-netfinity-4000r" TargetMode="External"/><Relationship Id="rId88" Type="http://schemas.openxmlformats.org/officeDocument/2006/relationships/hyperlink" Target="https://in.store.ui.com/in/en/products/poe-48-24w" TargetMode="External"/><Relationship Id="rId87" Type="http://schemas.openxmlformats.org/officeDocument/2006/relationships/hyperlink" Target="https://iportal.se.com/Contents/docs/UPS-SMT1500RM2UNC_DATA%20SHEET.PDF" TargetMode="External"/><Relationship Id="rId89" Type="http://schemas.openxmlformats.org/officeDocument/2006/relationships/hyperlink" Target="https://dl.ui.com/qsg/UF-LOCO/UF-LOCO_EN.html" TargetMode="External"/><Relationship Id="rId80" Type="http://schemas.openxmlformats.org/officeDocument/2006/relationships/hyperlink" Target="https://dl.ui.com/ds/usw_poe_ds.pdf" TargetMode="External"/><Relationship Id="rId82" Type="http://schemas.openxmlformats.org/officeDocument/2006/relationships/hyperlink" Target="https://www.synology.com/en-uk/store/Refurbished%20DS923%2B" TargetMode="External"/><Relationship Id="rId81" Type="http://schemas.openxmlformats.org/officeDocument/2006/relationships/hyperlink" Target="https://cdn.mikrotik.com/web-assets/product_files/hEX_161115.pdf" TargetMode="External"/><Relationship Id="rId73" Type="http://schemas.openxmlformats.org/officeDocument/2006/relationships/hyperlink" Target="https://www.dell.com/en-us/shop/dell-34-curved-usb-c-hub-monitor-p3424we/apd/210-bgzq/monitors-monitor-accessories" TargetMode="External"/><Relationship Id="rId72" Type="http://schemas.openxmlformats.org/officeDocument/2006/relationships/hyperlink" Target="https://www.dell.com/en-gb/shop/dell-ultrasharp-32-4k-usb-c-hub-monitor-u3223qe/apd/210-bcyo/monitors-monitor-accessories" TargetMode="External"/><Relationship Id="rId75" Type="http://schemas.openxmlformats.org/officeDocument/2006/relationships/hyperlink" Target="https://www.samsung.com/nz/business/smart-signage/uhd-4k-signage/crystal-uhd-signage-qmc-lh55qmcebgcxxy/" TargetMode="External"/><Relationship Id="rId74" Type="http://schemas.openxmlformats.org/officeDocument/2006/relationships/hyperlink" Target="https://www.dell.com/en-us/shop/dell-pro-24-plus-monitor-p2425h/apd/210-bmgh/monitors-monitor-accessories?tfcid=91049735" TargetMode="External"/><Relationship Id="rId77" Type="http://schemas.openxmlformats.org/officeDocument/2006/relationships/hyperlink" Target="https://www.benq.com/id-id/business/ifp/rm6503/specifications.html" TargetMode="External"/><Relationship Id="rId76" Type="http://schemas.openxmlformats.org/officeDocument/2006/relationships/hyperlink" Target="https://www.samsung.com/my/smart-signage/uhd-4k-signage/crystal-uhd-signage-qmc-75-inch-lh75qmcebgcxxs/" TargetMode="External"/><Relationship Id="rId79" Type="http://schemas.openxmlformats.org/officeDocument/2006/relationships/hyperlink" Target="https://dl.ui.com/ds/usw-lite-8-poe.pdf" TargetMode="External"/><Relationship Id="rId78" Type="http://schemas.openxmlformats.org/officeDocument/2006/relationships/hyperlink" Target="https://www.benq.com/id-id/business/ifp/rm6503/specifications.html" TargetMode="External"/><Relationship Id="rId71" Type="http://schemas.openxmlformats.org/officeDocument/2006/relationships/hyperlink" Target="https://www.dell.com/en-nz/shop/dell-27-monitor-p2725h/apd/210-bmjz/monitors-monitor-accessories" TargetMode="External"/><Relationship Id="rId70" Type="http://schemas.openxmlformats.org/officeDocument/2006/relationships/hyperlink" Target="https://www.dell.com/en-us/shop/dell-pro-24-plus-monitor-p2425h/apd/210-bmgh/monitors-monitor-accessories?tfcid=91049735" TargetMode="External"/><Relationship Id="rId62" Type="http://schemas.openxmlformats.org/officeDocument/2006/relationships/hyperlink" Target="https://support.dyson.com.au/medialibrary/Files/Dyson/Support/downloads/EU/HairCare/HD01_Supersonic_Manual.ashx" TargetMode="External"/><Relationship Id="rId61" Type="http://schemas.openxmlformats.org/officeDocument/2006/relationships/hyperlink" Target="https://www.documents.philips.com/assets/20210505/a5f1f042d0e44011a14ead1f005fa901.pdf" TargetMode="External"/><Relationship Id="rId64" Type="http://schemas.openxmlformats.org/officeDocument/2006/relationships/hyperlink" Target="https://support.apple.com/en-au/103253" TargetMode="External"/><Relationship Id="rId63" Type="http://schemas.openxmlformats.org/officeDocument/2006/relationships/hyperlink" Target="https://www.hp.com/us-en/tech-takes/gaming/tools/omen-desktop-power-draw-guide-calculator.html" TargetMode="External"/><Relationship Id="rId66" Type="http://schemas.openxmlformats.org/officeDocument/2006/relationships/hyperlink" Target="https://support.apple.com/en-ie/102027" TargetMode="External"/><Relationship Id="rId65" Type="http://schemas.openxmlformats.org/officeDocument/2006/relationships/hyperlink" Target="https://support.apple.com/en-au/103253" TargetMode="External"/><Relationship Id="rId68" Type="http://schemas.openxmlformats.org/officeDocument/2006/relationships/hyperlink" Target="https://www.eaton.com/us/en-us/skuPage.U342-DHG-402.html" TargetMode="External"/><Relationship Id="rId67" Type="http://schemas.openxmlformats.org/officeDocument/2006/relationships/hyperlink" Target="https://help.autodesk.com/cloudhelp/2023/ENU/FLAME-install-certified-hardware/files/HP-Z840/Preparing-the-Work-Environment/FLAME_install_certified_hardware_HP_Z840_Preparing_the_Work_Environment_Power_and_Air_Conditioning_html.html" TargetMode="External"/><Relationship Id="rId60" Type="http://schemas.openxmlformats.org/officeDocument/2006/relationships/hyperlink" Target="https://www.pubs.ext.vt.edu/2901/2901-9014/2901-9014.html" TargetMode="External"/><Relationship Id="rId69" Type="http://schemas.openxmlformats.org/officeDocument/2006/relationships/hyperlink" Target="https://www.apple.com/environment/pdf/products/notebooks/14-inch_MacBook_Pro_PER_Jan2023.pdf" TargetMode="External"/><Relationship Id="rId51" Type="http://schemas.openxmlformats.org/officeDocument/2006/relationships/hyperlink" Target="https://www.clipsal.com/products/lighting/clipsal-lighting/architectural-batten-led-40w-1200mm-4000k-clitpdbsled2?itemno=CLITPDBSLED2" TargetMode="External"/><Relationship Id="rId50" Type="http://schemas.openxmlformats.org/officeDocument/2006/relationships/hyperlink" Target="https://www.clipsal.com/products/lighting/clipsal-lighting" TargetMode="External"/><Relationship Id="rId53" Type="http://schemas.openxmlformats.org/officeDocument/2006/relationships/hyperlink" Target="https://www.brother.com.au/-/media/ap2/Australia/Products/Common/Brochures/DS-940DW_Brochure.pdf?rev=5bbf3448a14140c68d5ce39d52c025b8" TargetMode="External"/><Relationship Id="rId52" Type="http://schemas.openxmlformats.org/officeDocument/2006/relationships/hyperlink" Target="https://www.brother.com.au/-/media/ap2/australia/products/common/brochures/ads-1600w_brochure.pdf?rev=bdd4da6a90f54364a1f0f20a70547480" TargetMode="External"/><Relationship Id="rId55" Type="http://schemas.openxmlformats.org/officeDocument/2006/relationships/hyperlink" Target="https://www.samsung.com/uk/business/smart-signage/uhd-4k-signage/befx-h-lh43befhlgkxxu/" TargetMode="External"/><Relationship Id="rId54" Type="http://schemas.openxmlformats.org/officeDocument/2006/relationships/hyperlink" Target="https://www.brother.com.au/-/media/ap2/Australia/Products/Common/Brochures/MFC-J6540DW-Brochure.pdf?rev=74033a4949f748af97543cd70149e674" TargetMode="External"/><Relationship Id="rId57" Type="http://schemas.openxmlformats.org/officeDocument/2006/relationships/hyperlink" Target="https://productinfo.se.com/easyups3pmodular/990-91580-technical-specifications-easy-ups-3-phase-modular/English/990-91580%20Technical%20Specifications%20Easy%20UPS%203-Phase%20Modular50-250%20kW%20UPS_0001011916.xml/%24/GalaxyPX_HeatdissipitationREF_0000758269" TargetMode="External"/><Relationship Id="rId56" Type="http://schemas.openxmlformats.org/officeDocument/2006/relationships/hyperlink" Target="https://www.se.com/ie/en/faqs/FA310513/" TargetMode="External"/><Relationship Id="rId59" Type="http://schemas.openxmlformats.org/officeDocument/2006/relationships/hyperlink" Target="https://www.denon.com/on/demandware.static/-/Library-Sites-denon_europe_shared/default/dw520f86d3/downloads/d-m41-info-sheet-en.pdf" TargetMode="External"/><Relationship Id="rId58" Type="http://schemas.openxmlformats.org/officeDocument/2006/relationships/hyperlink" Target="https://www.kaercher.com/int/home-garden/vacuum-cleaners/vc-2-11980350.html" TargetMode="External"/><Relationship Id="rId107" Type="http://schemas.openxmlformats.org/officeDocument/2006/relationships/hyperlink" Target="https://www.verifone.com/hardware-product/verifone-p400" TargetMode="External"/><Relationship Id="rId228" Type="http://schemas.openxmlformats.org/officeDocument/2006/relationships/hyperlink" Target="https://www.concept2.com/support/monitors/pm5/troubleshooting" TargetMode="External"/><Relationship Id="rId349" Type="http://schemas.openxmlformats.org/officeDocument/2006/relationships/hyperlink" Target="https://www.chiriottieditori.it/images/pdf/pdf_pi_wwe/web_piwwe_2013_02.pdf" TargetMode="External"/><Relationship Id="rId106" Type="http://schemas.openxmlformats.org/officeDocument/2006/relationships/hyperlink" Target="https://www.manualshelf.com/manual/ses-imagotag/edg1/users-manual-english/page-16.html" TargetMode="External"/><Relationship Id="rId227" Type="http://schemas.openxmlformats.org/officeDocument/2006/relationships/hyperlink" Target="https://handbook.ashrae.org/Handbooks/F17/SI/f17_ch18/f17_ch18_si.aspx" TargetMode="External"/><Relationship Id="rId348" Type="http://schemas.openxmlformats.org/officeDocument/2006/relationships/hyperlink" Target="https://handbook.ashrae.org/Handbooks/F17/SI/f17_ch18/f17_ch18_si.aspx" TargetMode="External"/><Relationship Id="rId105" Type="http://schemas.openxmlformats.org/officeDocument/2006/relationships/hyperlink" Target="https://www.zebra.com/content/dam/support-dam/en/documentation/unrestricted/guide/product/ds2208-prg-en.pdf" TargetMode="External"/><Relationship Id="rId226" Type="http://schemas.openxmlformats.org/officeDocument/2006/relationships/hyperlink" Target="https://handbook.ashrae.org/Handbooks/F17/SI/f17_ch18/f17_ch18_si.aspx" TargetMode="External"/><Relationship Id="rId347" Type="http://schemas.openxmlformats.org/officeDocument/2006/relationships/hyperlink" Target="https://hoshizaki.com.hk/wp-content/uploads/2022/03/HNC-150BE-L-B_Drawing.pdf" TargetMode="External"/><Relationship Id="rId104" Type="http://schemas.openxmlformats.org/officeDocument/2006/relationships/hyperlink" Target="https://www.benq.com/id-id/business/ifp/rm6503/specifications.html" TargetMode="External"/><Relationship Id="rId225" Type="http://schemas.openxmlformats.org/officeDocument/2006/relationships/hyperlink" Target="https://handbook.ashrae.org/Handbooks/F25/SI/F25_Ch18/F25_Ch18_si.aspx" TargetMode="External"/><Relationship Id="rId346" Type="http://schemas.openxmlformats.org/officeDocument/2006/relationships/hyperlink" Target="https://handbook.ashrae.org/Handbooks/F17/SI/f17_ch18/f17_ch18_si.aspx" TargetMode="External"/><Relationship Id="rId109" Type="http://schemas.openxmlformats.org/officeDocument/2006/relationships/hyperlink" Target="https://www.apgsolutions.com/wp-content/uploads/M-43-341-Rev.-B-SMARTtill-Hybrid_WEB.pdf" TargetMode="External"/><Relationship Id="rId108" Type="http://schemas.openxmlformats.org/officeDocument/2006/relationships/hyperlink" Target="https://www.epson.co.nz/products/receipt-printers/receipt-printers/tmt88vii/" TargetMode="External"/><Relationship Id="rId229" Type="http://schemas.openxmlformats.org/officeDocument/2006/relationships/hyperlink" Target="https://handbook.ashrae.org/Handbooks/F17/SI/f17_ch18/f17_ch18_si.aspx" TargetMode="External"/><Relationship Id="rId220" Type="http://schemas.openxmlformats.org/officeDocument/2006/relationships/hyperlink" Target="https://www.hawo.com/hawo-files/hawo-hawo-9343045_hawo_broch-hd-650-ecopakseries-en-www-231010-id1396-486.pdf" TargetMode="External"/><Relationship Id="rId341" Type="http://schemas.openxmlformats.org/officeDocument/2006/relationships/hyperlink" Target="https://safescandownload.safescan.com/Downloads/en/money-counters/1250/Safescan-1250-Productsheet-EUR-IE.pdf" TargetMode="External"/><Relationship Id="rId340" Type="http://schemas.openxmlformats.org/officeDocument/2006/relationships/hyperlink" Target="https://safescandownload.safescan.com/Downloads/en/money-counters/2200/G2/Manual/Print/Safescan-2210-2250-G2-Print-Manual-EN.pdf" TargetMode="External"/><Relationship Id="rId103" Type="http://schemas.openxmlformats.org/officeDocument/2006/relationships/hyperlink" Target="https://cdn.linak.com/-/media/files/data-sheet-source/en/accessory-desk-frame-2-data-sheet-eng.pdf" TargetMode="External"/><Relationship Id="rId224" Type="http://schemas.openxmlformats.org/officeDocument/2006/relationships/hyperlink" Target="https://eshop.se.com/sg/variable-speed-drive-altivar-machine-atv320-1-5kw-380-to-500v-3-phases-book-atv320u15n4b.html" TargetMode="External"/><Relationship Id="rId345" Type="http://schemas.openxmlformats.org/officeDocument/2006/relationships/hyperlink" Target="https://docs.zebra.com/us/en/mobile-computers/handheld/tc2-series/tc22-tc27-prg/r-tc21-26-technical-specifications/r-tc22-tc27-5-slot-charge-only-cradle-specifications.html" TargetMode="External"/><Relationship Id="rId102" Type="http://schemas.openxmlformats.org/officeDocument/2006/relationships/hyperlink" Target="https://www.barco.com/en/product/clickshare-c-10" TargetMode="External"/><Relationship Id="rId223" Type="http://schemas.openxmlformats.org/officeDocument/2006/relationships/hyperlink" Target="https://library.e.abb.com/public/edb87e41a82645d2a8d0932dc4652a3a/0.75KW%202P%20IE3.pdf" TargetMode="External"/><Relationship Id="rId344" Type="http://schemas.openxmlformats.org/officeDocument/2006/relationships/hyperlink" Target="https://docs.zebra.com/us/en/printers/industrial/zt411-zt421-industrial-printer-user-guide/c-zt4x1-specs/r-zt4x1-power-specifications.html/1000" TargetMode="External"/><Relationship Id="rId101" Type="http://schemas.openxmlformats.org/officeDocument/2006/relationships/hyperlink" Target="https://support.yealink.com/docs/cp925/yealink-cp925-datasheet/79de824c275c4a26bd69a5793de2b46c" TargetMode="External"/><Relationship Id="rId222" Type="http://schemas.openxmlformats.org/officeDocument/2006/relationships/hyperlink" Target="https://handbook.ashrae.org/Handbooks/F17/SI/f17_ch18/f17_ch18_si.aspx" TargetMode="External"/><Relationship Id="rId343" Type="http://schemas.openxmlformats.org/officeDocument/2006/relationships/hyperlink" Target="https://www.beumergroup.com/products-systems/logistics-systems/parcel-belt-conveyor/" TargetMode="External"/><Relationship Id="rId100" Type="http://schemas.openxmlformats.org/officeDocument/2006/relationships/hyperlink" Target="https://www.cisco.com/c/en/us/products/collateral/collaboration-endpoints/spark-room-kit-series/room-kit-eqx-ds.html" TargetMode="External"/><Relationship Id="rId221" Type="http://schemas.openxmlformats.org/officeDocument/2006/relationships/hyperlink" Target="https://www.jetblast.it/en/products/autonomated-systems/e-power-control/" TargetMode="External"/><Relationship Id="rId342" Type="http://schemas.openxmlformats.org/officeDocument/2006/relationships/hyperlink" Target="https://www.smartelocker.com/products/smart-solar-parcel-locker-linux-cost-effective/" TargetMode="External"/><Relationship Id="rId217" Type="http://schemas.openxmlformats.org/officeDocument/2006/relationships/hyperlink" Target="https://www.pmt3d.com/what-is-the-power-consumption-of-a-handheld-laser-3d-scanner/" TargetMode="External"/><Relationship Id="rId338" Type="http://schemas.openxmlformats.org/officeDocument/2006/relationships/hyperlink" Target="https://mediadev.extron.com/public/download/files/brochure/quantum_ultra_revB5.pdf" TargetMode="External"/><Relationship Id="rId216" Type="http://schemas.openxmlformats.org/officeDocument/2006/relationships/hyperlink" Target="https://www.meanwell.com/Upload/PDF/NPB-450/NPB-450-spec.pdf" TargetMode="External"/><Relationship Id="rId337" Type="http://schemas.openxmlformats.org/officeDocument/2006/relationships/hyperlink" Target="https://elosupport.elotouch.com/hc/en-us/articles/31424269152791-Where-can-I-find-22-inch-I-Series-2-with-Intel-information" TargetMode="External"/><Relationship Id="rId215" Type="http://schemas.openxmlformats.org/officeDocument/2006/relationships/hyperlink" Target="https://handbook.ashrae.org/Handbooks/F25/SI/F25_Ch18/F25_Ch18_si.aspx" TargetMode="External"/><Relationship Id="rId336" Type="http://schemas.openxmlformats.org/officeDocument/2006/relationships/hyperlink" Target="https://elosupport.elotouch.com/hc/en-us/articles/31424269152791-Where-can-I-find-22-inch-I-Series-2-with-Intel-information" TargetMode="External"/><Relationship Id="rId214" Type="http://schemas.openxmlformats.org/officeDocument/2006/relationships/hyperlink" Target="https://www.hotwash.com.au/hubfs/2023%20August%20Website%20Content/Change%20request%20-%20Oct%202023/SS850-HMW%20%26%201200-HMW%20%28Brochure%29.pdf" TargetMode="External"/><Relationship Id="rId335" Type="http://schemas.openxmlformats.org/officeDocument/2006/relationships/hyperlink" Target="https://www.se.com/in/en/faqs/FA316686/" TargetMode="External"/><Relationship Id="rId219" Type="http://schemas.openxmlformats.org/officeDocument/2006/relationships/hyperlink" Target="https://download.sew-eurodrive.com/download/pdf/30592232.pdf" TargetMode="External"/><Relationship Id="rId218" Type="http://schemas.openxmlformats.org/officeDocument/2006/relationships/hyperlink" Target="https://eshop.se.com/in/atv320u07n4c-atv320-0-75kw-400v-3ph-compact-control-v.html" TargetMode="External"/><Relationship Id="rId339" Type="http://schemas.openxmlformats.org/officeDocument/2006/relationships/hyperlink" Target="https://www.glory-global.com/-/media/GloryGlobal/Downloads/ASIAPAC/Glory_CI-5-Brochure_EN-SG.pdf" TargetMode="External"/><Relationship Id="rId330" Type="http://schemas.openxmlformats.org/officeDocument/2006/relationships/hyperlink" Target="https://www.helmerinc.com/sites/default/files/2022-02/HPR105-GX-Technical-Data-Sheet-380413-1.pdf" TargetMode="External"/><Relationship Id="rId213" Type="http://schemas.openxmlformats.org/officeDocument/2006/relationships/hyperlink" Target="https://www.asecos-configurator.com/EN/IE/technical-ventilation-of-safety-storage-cabinets/extraction-units/extraction-units-for-tall-cabinets/14218" TargetMode="External"/><Relationship Id="rId334" Type="http://schemas.openxmlformats.org/officeDocument/2006/relationships/hyperlink" Target="https://protech.bg/wp-content/uploads/2019/05/PowerPad-20130409165158.pdf" TargetMode="External"/><Relationship Id="rId212" Type="http://schemas.openxmlformats.org/officeDocument/2006/relationships/hyperlink" Target="https://www.nitto-kohki.co.jp/apps/prd/search/syousai?dlcflg=1&amp;dlkbn=3&amp;groupcd=L&amp;lang=en&amp;seihincd=LA70581" TargetMode="External"/><Relationship Id="rId333" Type="http://schemas.openxmlformats.org/officeDocument/2006/relationships/hyperlink" Target="https://www.dahuasecurity.com/mena/products/All-Products/Access-Control--Time-Attendance/Turnstiles/Flap-Barrier/Lite/ASGY1XXA-X" TargetMode="External"/><Relationship Id="rId211" Type="http://schemas.openxmlformats.org/officeDocument/2006/relationships/hyperlink" Target="https://www.troteclaser.com/static/pdf/speedy-100/operating-manual-Speedy-100R-8063-en-us.pdf" TargetMode="External"/><Relationship Id="rId332" Type="http://schemas.openxmlformats.org/officeDocument/2006/relationships/hyperlink" Target="https://cms-prod.ricelake.com/products/ishida-uni-7-series-price-computing-printing-scale/?print=true" TargetMode="External"/><Relationship Id="rId210" Type="http://schemas.openxmlformats.org/officeDocument/2006/relationships/hyperlink" Target="https://handbook.ashrae.org/Handbooks/F17/SI/f17_ch18/f17_ch18_si.aspx" TargetMode="External"/><Relationship Id="rId331" Type="http://schemas.openxmlformats.org/officeDocument/2006/relationships/hyperlink" Target="https://www.epowerfirst.com/uploadfiles/2024/11/20241114112632922.pdf" TargetMode="External"/><Relationship Id="rId370" Type="http://schemas.openxmlformats.org/officeDocument/2006/relationships/hyperlink" Target="https://www.toso.com/download/pdf_catalog/pdf/motorized/Ti-8040_202502E.pdf" TargetMode="External"/><Relationship Id="rId129" Type="http://schemas.openxmlformats.org/officeDocument/2006/relationships/hyperlink" Target="https://handbook.ashrae.org/Handbooks/F17/SI/f17_ch18/f17_ch18_si.aspx" TargetMode="External"/><Relationship Id="rId128" Type="http://schemas.openxmlformats.org/officeDocument/2006/relationships/hyperlink" Target="https://handbook.ashrae.org/Handbooks/F17/SI/f17_ch18/f17_ch18_si.aspx" TargetMode="External"/><Relationship Id="rId249" Type="http://schemas.openxmlformats.org/officeDocument/2006/relationships/hyperlink" Target="https://handbook.ashrae.org/Handbooks/F17/SI/f17_ch18/f17_ch18_si.aspx" TargetMode="External"/><Relationship Id="rId127" Type="http://schemas.openxmlformats.org/officeDocument/2006/relationships/hyperlink" Target="https://handbook.ashrae.org/Handbooks/F17/SI/f17_ch18/f17_ch18_si.aspx" TargetMode="External"/><Relationship Id="rId248" Type="http://schemas.openxmlformats.org/officeDocument/2006/relationships/hyperlink" Target="https://cdn.commerce.boschsecurity.com/public/documents/B5512_Control_Panel_Data_sheet_enUS_10683716747.pdf" TargetMode="External"/><Relationship Id="rId369" Type="http://schemas.openxmlformats.org/officeDocument/2006/relationships/hyperlink" Target="https://assets.lutron.com/a/documents/369708_GuestRoom_Controller.pdf" TargetMode="External"/><Relationship Id="rId126" Type="http://schemas.openxmlformats.org/officeDocument/2006/relationships/hyperlink" Target="https://handbook.ashrae.org/Handbooks/F17/SI/f17_ch18/f17_ch18_si.aspx" TargetMode="External"/><Relationship Id="rId247" Type="http://schemas.openxmlformats.org/officeDocument/2006/relationships/hyperlink" Target="https://www.dahuasecurity.com/br/products/Access-Control/Controllers/ASC2204C-D" TargetMode="External"/><Relationship Id="rId368" Type="http://schemas.openxmlformats.org/officeDocument/2006/relationships/hyperlink" Target="https://www.assaabloy.com/za/en/solutions/products/digital-access-solutions/wired-solutions/electromagnetic-lock/securitron/securitron-m62" TargetMode="External"/><Relationship Id="rId121" Type="http://schemas.openxmlformats.org/officeDocument/2006/relationships/hyperlink" Target="https://www.legrand.com.au/en/catalog/products/legrand-flexo-d40-recessed-led-flex-plug-standalone-satellite-white-659631li" TargetMode="External"/><Relationship Id="rId242" Type="http://schemas.openxmlformats.org/officeDocument/2006/relationships/hyperlink" Target="https://itsumiusa.com/products/hf-360-utility-press/" TargetMode="External"/><Relationship Id="rId363" Type="http://schemas.openxmlformats.org/officeDocument/2006/relationships/hyperlink" Target="https://manual.yamaha.com/av/18/rxv385/en-US/329936523.html" TargetMode="External"/><Relationship Id="rId120" Type="http://schemas.openxmlformats.org/officeDocument/2006/relationships/hyperlink" Target="https://www.signify.com/api/assets/v1/file/Signify/content/929002531419_EU.en_AA.PROF.FP/Localized_commercial_leaflet_929002531419_en_AA.pdf" TargetMode="External"/><Relationship Id="rId241" Type="http://schemas.openxmlformats.org/officeDocument/2006/relationships/hyperlink" Target="https://media.miele.com/downloads/n-/ie/FS_11168560_IEE_IE-en-IE.pdf" TargetMode="External"/><Relationship Id="rId362" Type="http://schemas.openxmlformats.org/officeDocument/2006/relationships/hyperlink" Target="https://www.apple.com/nz/environment/pdf/products/appletv/Apple_TV_4K_PER_Oct2022.pdf" TargetMode="External"/><Relationship Id="rId240" Type="http://schemas.openxmlformats.org/officeDocument/2006/relationships/hyperlink" Target="https://media.miele.com/downloads/n-/gb/FS_11393410_GBE_GB-en-GB.pdf" TargetMode="External"/><Relationship Id="rId361" Type="http://schemas.openxmlformats.org/officeDocument/2006/relationships/hyperlink" Target="https://www.dimplex.com.au/sites/g/files/emiian331/files/2024-01/Dimplex_Heating%20_Electric%20Fires_2024.pdf" TargetMode="External"/><Relationship Id="rId360" Type="http://schemas.openxmlformats.org/officeDocument/2006/relationships/hyperlink" Target="https://www.devi.com/en/products/thermostats/indoor-applications/devireg-room" TargetMode="External"/><Relationship Id="rId125" Type="http://schemas.openxmlformats.org/officeDocument/2006/relationships/hyperlink" Target="https://support.etcconnect.com/ETC/Getting_Started_with_ETC_and_FAQ/Inrush_Current_and_ETC_LED_Fixtures" TargetMode="External"/><Relationship Id="rId246" Type="http://schemas.openxmlformats.org/officeDocument/2006/relationships/hyperlink" Target="https://www.synology.com/en-sg/products/DVA1622" TargetMode="External"/><Relationship Id="rId367" Type="http://schemas.openxmlformats.org/officeDocument/2006/relationships/hyperlink" Target="https://www.onity.com/en/asia-pacific/media/Onity_OS700safe_DataSheet_0525-001_tcm1056-162990.pdf" TargetMode="External"/><Relationship Id="rId124" Type="http://schemas.openxmlformats.org/officeDocument/2006/relationships/hyperlink" Target="https://in.shop.lighting.philips.com/products/philips-smart-wifi-led-hero-desk-lamp?variant=45116701278398" TargetMode="External"/><Relationship Id="rId245" Type="http://schemas.openxmlformats.org/officeDocument/2006/relationships/hyperlink" Target="https://www.electricwaterpump.com/product/ev-charging-cooling-pump/" TargetMode="External"/><Relationship Id="rId366" Type="http://schemas.openxmlformats.org/officeDocument/2006/relationships/hyperlink" Target="https://smartcube.minibarsystems.com/wp-content/uploads/2024/03/DOC0338_SmartCube-Classic-DC40T-Drawer-Model-Specification.pdf" TargetMode="External"/><Relationship Id="rId123" Type="http://schemas.openxmlformats.org/officeDocument/2006/relationships/hyperlink" Target="https://www.signify.com/global/prof/outdoor-luminaires/sports-and-area-floodlighting/area-and-recreational-floodlighting/philips-smartbright-all-in-floodlight/911401894286_EU/product" TargetMode="External"/><Relationship Id="rId244" Type="http://schemas.openxmlformats.org/officeDocument/2006/relationships/hyperlink" Target="https://www.dyson.com.au/for-business/hand-dryers/airblade-9kj" TargetMode="External"/><Relationship Id="rId365" Type="http://schemas.openxmlformats.org/officeDocument/2006/relationships/hyperlink" Target="https://cdn.linak.com/-/media/files/data-sheet-source/en/dual-actuator-td4-standard-data-sheet-eng.pdf" TargetMode="External"/><Relationship Id="rId122" Type="http://schemas.openxmlformats.org/officeDocument/2006/relationships/hyperlink" Target="https://www.legrand.com.au/en/catalog/products/legrand-flexo-emergency-edgelight-standalone-2-in-1-surface-recessed-mount-white-all-running-man-decals-659625li" TargetMode="External"/><Relationship Id="rId243" Type="http://schemas.openxmlformats.org/officeDocument/2006/relationships/hyperlink" Target="https://www.se.com/in/en/faqs/FA316686/" TargetMode="External"/><Relationship Id="rId364" Type="http://schemas.openxmlformats.org/officeDocument/2006/relationships/hyperlink" Target="https://www.tp-link.com/au/document/134157/" TargetMode="External"/><Relationship Id="rId95" Type="http://schemas.openxmlformats.org/officeDocument/2006/relationships/hyperlink" Target="https://handbook.ashrae.org/Handbooks/F17/SI/f17_ch18/f17_ch18_si.aspx" TargetMode="External"/><Relationship Id="rId94" Type="http://schemas.openxmlformats.org/officeDocument/2006/relationships/hyperlink" Target="https://zebronics.com/products/zeb-a3l2" TargetMode="External"/><Relationship Id="rId97" Type="http://schemas.openxmlformats.org/officeDocument/2006/relationships/hyperlink" Target="https://cdn0.scrivito.com/0b415e9fe7995370c62ceab2d1317f1c/123aaf0b5da97538/5f3cf47cf968/OPTIMAIL-30_BA.pdf" TargetMode="External"/><Relationship Id="rId96" Type="http://schemas.openxmlformats.org/officeDocument/2006/relationships/hyperlink" Target="https://www.fingerprintdigital.com/wp-content/uploads/2023/04/Duplo-DF-999.pdf" TargetMode="External"/><Relationship Id="rId99" Type="http://schemas.openxmlformats.org/officeDocument/2006/relationships/hyperlink" Target="https://hsm.eu/media/pdf/23/4c/bc/EN_HSM_Powerline_product-overview_view.pdf" TargetMode="External"/><Relationship Id="rId98" Type="http://schemas.openxmlformats.org/officeDocument/2006/relationships/hyperlink" Target="https://handbook.ashrae.org/Handbooks/F17/SI/f17_ch18/f17_ch18_si.aspx" TargetMode="External"/><Relationship Id="rId91" Type="http://schemas.openxmlformats.org/officeDocument/2006/relationships/hyperlink" Target="https://www.kyoceradocumentsolutions.co.uk/en/products/mfp/TASKALFA7004I.html" TargetMode="External"/><Relationship Id="rId90" Type="http://schemas.openxmlformats.org/officeDocument/2006/relationships/hyperlink" Target="https://files.support.epson.com/docid/cpd6/cpd60205/source/specifications/references/et4850/spex_electrical_spc_et4850.html" TargetMode="External"/><Relationship Id="rId93" Type="http://schemas.openxmlformats.org/officeDocument/2006/relationships/hyperlink" Target="https://canon.a.bigcontent.io/v1/static/varioprint-140-series-quartz_datasheet_em_final_forweb_c597fd04df0d4081b311b75a35944ad1" TargetMode="External"/><Relationship Id="rId92" Type="http://schemas.openxmlformats.org/officeDocument/2006/relationships/hyperlink" Target="https://www.kyoceradocumentsolutions.co.uk/en/products/mfp/TASKALFA7004I.html" TargetMode="External"/><Relationship Id="rId118" Type="http://schemas.openxmlformats.org/officeDocument/2006/relationships/hyperlink" Target="https://www.penn-elcom.com/5m-reel-tunable-white-cct-led-strip-2200-3500k-high-density-240leds-m-24v-ip20-ledpl-tw-922935-16w" TargetMode="External"/><Relationship Id="rId239" Type="http://schemas.openxmlformats.org/officeDocument/2006/relationships/hyperlink" Target="https://media.miele.com/downloads/n-/ie/FS_11168560_IEE_IE-en-IE.pdf" TargetMode="External"/><Relationship Id="rId117" Type="http://schemas.openxmlformats.org/officeDocument/2006/relationships/hyperlink" Target="https://www.eaton.com/sg/en-us/catalog/lighting-and-controls/led-low-bay-industrial-luminaire.html" TargetMode="External"/><Relationship Id="rId238" Type="http://schemas.openxmlformats.org/officeDocument/2006/relationships/hyperlink" Target="https://media.miele.com/downloads/n-/gb/FS_11393410_GBE_GB-en-GB.pdf" TargetMode="External"/><Relationship Id="rId359" Type="http://schemas.openxmlformats.org/officeDocument/2006/relationships/hyperlink" Target="https://www.thermogroup.com.au/product/fs66e-straight-round-free-standing-heated-towel-rail/" TargetMode="External"/><Relationship Id="rId116" Type="http://schemas.openxmlformats.org/officeDocument/2006/relationships/hyperlink" Target="https://www.signify.com/en-sg/prof/indoor-luminaires/high-bay-and-low-bay/high-bay/philips-smartbright-highbay/911401640107_EU/product" TargetMode="External"/><Relationship Id="rId237" Type="http://schemas.openxmlformats.org/officeDocument/2006/relationships/hyperlink" Target="https://media.miele.com/downloads/50/ea/06_C7F128282FD21FE094D111697B3550EA.pdf" TargetMode="External"/><Relationship Id="rId358" Type="http://schemas.openxmlformats.org/officeDocument/2006/relationships/hyperlink" Target="https://deltabreez.com/50F.php" TargetMode="External"/><Relationship Id="rId115" Type="http://schemas.openxmlformats.org/officeDocument/2006/relationships/hyperlink" Target="https://www.signify.com/pt-pt/prof/luminarias-de-interior/encastradas/philips-painel-coreline-gen6/910505104636_EU/product" TargetMode="External"/><Relationship Id="rId236" Type="http://schemas.openxmlformats.org/officeDocument/2006/relationships/hyperlink" Target="https://www.switchbowlingusa.com/planning-and-resources/" TargetMode="External"/><Relationship Id="rId357" Type="http://schemas.openxmlformats.org/officeDocument/2006/relationships/hyperlink" Target="https://handbook.ashrae.org/Handbooks/F17/SI/f17_ch18/f17_ch18_si.aspx" TargetMode="External"/><Relationship Id="rId119" Type="http://schemas.openxmlformats.org/officeDocument/2006/relationships/hyperlink" Target="https://www.signify.com/global/prof/indoor-luminaires/projectors/philips-storefit/910505102049_EU/product" TargetMode="External"/><Relationship Id="rId110" Type="http://schemas.openxmlformats.org/officeDocument/2006/relationships/hyperlink" Target="https://www.hardysolutions.com/en/e-scale" TargetMode="External"/><Relationship Id="rId231" Type="http://schemas.openxmlformats.org/officeDocument/2006/relationships/hyperlink" Target="https://www.ogawaworld.net.ph/products/master-drive-plus" TargetMode="External"/><Relationship Id="rId352" Type="http://schemas.openxmlformats.org/officeDocument/2006/relationships/hyperlink" Target="https://api.perlick.com/Data/PDFFiles/8000B31b3889096ce9bef6ca309ed072f1ffdb1e0e15e_Z2643_Ice_Cream_Cabinet_8000B_Operation_and_Installation_Manual_R290_04_20_23.pdf" TargetMode="External"/><Relationship Id="rId230" Type="http://schemas.openxmlformats.org/officeDocument/2006/relationships/hyperlink" Target="https://www.samsung.com/uk/business/smart-signage/uhd-4k-signage/befx-h-lh43befhlgkxxu/" TargetMode="External"/><Relationship Id="rId351" Type="http://schemas.openxmlformats.org/officeDocument/2006/relationships/hyperlink" Target="https://www.spm-drink-systems.com/slush-machines/mp/" TargetMode="External"/><Relationship Id="rId350" Type="http://schemas.openxmlformats.org/officeDocument/2006/relationships/hyperlink" Target="https://taylorfreezers.com/wp-content/uploads/2024/02/Icetro_ISI303SNASNW_SoftServe_SpecSheet_1.pdf" TargetMode="External"/><Relationship Id="rId114" Type="http://schemas.openxmlformats.org/officeDocument/2006/relationships/hyperlink" Target="https://www.signify.com/nl-nl/prof/armaturen-voor-binnenverlichting/inbouwarmaturen/philips-coreline-paneel-gen6/910505102817_EU/product" TargetMode="External"/><Relationship Id="rId235" Type="http://schemas.openxmlformats.org/officeDocument/2006/relationships/hyperlink" Target="https://www.store.upreach.com/en/fotokabinenguide" TargetMode="External"/><Relationship Id="rId356" Type="http://schemas.openxmlformats.org/officeDocument/2006/relationships/hyperlink" Target="https://www.smeg.com/ie/products/SF6300TVX" TargetMode="External"/><Relationship Id="rId113" Type="http://schemas.openxmlformats.org/officeDocument/2006/relationships/hyperlink" Target="https://www.aceautomatic.com/carpark/TD-112.html" TargetMode="External"/><Relationship Id="rId234" Type="http://schemas.openxmlformats.org/officeDocument/2006/relationships/hyperlink" Target="https://www.hp.com/us-en/tech-takes/gaming/tools/omen-desktop-power-draw-guide-calculator.html" TargetMode="External"/><Relationship Id="rId355" Type="http://schemas.openxmlformats.org/officeDocument/2006/relationships/hyperlink" Target="https://handbook.ashrae.org/Handbooks/F17/SI/f17_ch18/f17_ch18_si.aspx" TargetMode="External"/><Relationship Id="rId112" Type="http://schemas.openxmlformats.org/officeDocument/2006/relationships/hyperlink" Target="https://support.hp.com/us-en/document/c03682278" TargetMode="External"/><Relationship Id="rId233" Type="http://schemas.openxmlformats.org/officeDocument/2006/relationships/hyperlink" Target="https://www.playstation.com/en-gb/legal/ecodesign/" TargetMode="External"/><Relationship Id="rId354" Type="http://schemas.openxmlformats.org/officeDocument/2006/relationships/hyperlink" Target="https://www.axis.com/dam/public/74/b3/34/datasheet-axis-camera-station-s9301-workstation--en-US-488093.pdf" TargetMode="External"/><Relationship Id="rId111" Type="http://schemas.openxmlformats.org/officeDocument/2006/relationships/hyperlink" Target="https://www.queue.solutions/hardware/operator-hall-displays/" TargetMode="External"/><Relationship Id="rId232" Type="http://schemas.openxmlformats.org/officeDocument/2006/relationships/hyperlink" Target="https://www.bandainamco-am.com/Ecommerce/Site/Content/PDFs/MKArcade_GPDX_Manual_04.07.25.pdf" TargetMode="External"/><Relationship Id="rId353" Type="http://schemas.openxmlformats.org/officeDocument/2006/relationships/hyperlink" Target="https://handbook.ashrae.org/Handbooks/F17/SI/f17_ch18/f17_ch18_si.aspx" TargetMode="External"/><Relationship Id="rId305" Type="http://schemas.openxmlformats.org/officeDocument/2006/relationships/hyperlink" Target="https://www.fosterrefrigerator.com/en/multideck-display/pro/19-139" TargetMode="External"/><Relationship Id="rId304" Type="http://schemas.openxmlformats.org/officeDocument/2006/relationships/hyperlink" Target="https://handbook.ashrae.org/Handbooks/F17/SI/f17_ch18/f17_ch18_si.aspx" TargetMode="External"/><Relationship Id="rId425" Type="http://schemas.openxmlformats.org/officeDocument/2006/relationships/drawing" Target="../drawings/drawing1.xml"/><Relationship Id="rId303" Type="http://schemas.openxmlformats.org/officeDocument/2006/relationships/hyperlink" Target="https://melinkcorp.com/wp-content/uploads/2021/10/Melink-Intelli-Hood-Product_Spec.pdf" TargetMode="External"/><Relationship Id="rId424" Type="http://schemas.openxmlformats.org/officeDocument/2006/relationships/hyperlink" Target="https://xicheng-lab.com/product/fume-hood-controller-external-actuator/" TargetMode="External"/><Relationship Id="rId302" Type="http://schemas.openxmlformats.org/officeDocument/2006/relationships/hyperlink" Target="https://partnernet.meiko-global.com/download/2177/en" TargetMode="External"/><Relationship Id="rId423" Type="http://schemas.openxmlformats.org/officeDocument/2006/relationships/hyperlink" Target="https://help.prusa3d.com/article/faq-frequently-asked-questions_1932" TargetMode="External"/><Relationship Id="rId309" Type="http://schemas.openxmlformats.org/officeDocument/2006/relationships/hyperlink" Target="https://www.se.com/in/en/faqs/FA316686/" TargetMode="External"/><Relationship Id="rId308" Type="http://schemas.openxmlformats.org/officeDocument/2006/relationships/hyperlink" Target="https://www.linak.cn/-/media/files/user-manual-source/en/medline-careline-jumbo-user-manual-eng.pdf" TargetMode="External"/><Relationship Id="rId307" Type="http://schemas.openxmlformats.org/officeDocument/2006/relationships/hyperlink" Target="https://cdn.linak.com/-/media/files/data-sheet-source/en/control-box-ca30-ca40-data-sheet-eng.pdf" TargetMode="External"/><Relationship Id="rId306" Type="http://schemas.openxmlformats.org/officeDocument/2006/relationships/hyperlink" Target="https://handbook.ashrae.org/Handbooks/F17/SI/f17_ch18/f17_ch18_si.aspx" TargetMode="External"/><Relationship Id="rId301" Type="http://schemas.openxmlformats.org/officeDocument/2006/relationships/hyperlink" Target="https://www.mahlkoenig.com/products/e65s-gbw" TargetMode="External"/><Relationship Id="rId422" Type="http://schemas.openxmlformats.org/officeDocument/2006/relationships/hyperlink" Target="https://www.cirfid.com/products/ci-r41-hf-library-self-service-kiosk" TargetMode="External"/><Relationship Id="rId300" Type="http://schemas.openxmlformats.org/officeDocument/2006/relationships/hyperlink" Target="https://trespade.com/en/products/d-250-professional-slicer" TargetMode="External"/><Relationship Id="rId421" Type="http://schemas.openxmlformats.org/officeDocument/2006/relationships/hyperlink" Target="https://lyngsoesystems.com/library/automated-material-handling/lyngsoe-sort-mate-2000" TargetMode="External"/><Relationship Id="rId420" Type="http://schemas.openxmlformats.org/officeDocument/2006/relationships/hyperlink" Target="https://www.bibliotheken-service.at/assets/pdf/selbstverbuchung/selfCheck_1000_brochure.pdf" TargetMode="External"/><Relationship Id="rId415" Type="http://schemas.openxmlformats.org/officeDocument/2006/relationships/hyperlink" Target="https://usa.yamaha.com/products/musical_instruments/keyboards/portable_keyboards/psr-e383/specs.html" TargetMode="External"/><Relationship Id="rId414" Type="http://schemas.openxmlformats.org/officeDocument/2006/relationships/hyperlink" Target="https://www.microscope.healthcare.nikon.com/en_EU/products/digital-microscopes/eclipse-ui/specifications" TargetMode="External"/><Relationship Id="rId413" Type="http://schemas.openxmlformats.org/officeDocument/2006/relationships/hyperlink" Target="https://www.pic-control.com/energy-audit-with-a-portable-power-meter/" TargetMode="External"/><Relationship Id="rId412" Type="http://schemas.openxmlformats.org/officeDocument/2006/relationships/hyperlink" Target="https://www.ika.com/ika/datasheet/download?iLang=1&amp;iProduct=10011525" TargetMode="External"/><Relationship Id="rId419" Type="http://schemas.openxmlformats.org/officeDocument/2006/relationships/hyperlink" Target="https://ph.yamaha.com/en/download/files/2080208" TargetMode="External"/><Relationship Id="rId418" Type="http://schemas.openxmlformats.org/officeDocument/2006/relationships/hyperlink" Target="https://www.tascam.eu/en/studio_bridge" TargetMode="External"/><Relationship Id="rId417" Type="http://schemas.openxmlformats.org/officeDocument/2006/relationships/hyperlink" Target="https://www.roland.com/mx/products/TD-50X/" TargetMode="External"/><Relationship Id="rId416" Type="http://schemas.openxmlformats.org/officeDocument/2006/relationships/hyperlink" Target="https://nl.yamaha.com/files/download/other_assets/3/2144473/P-145_owners_manual_En_C0.pdf" TargetMode="External"/><Relationship Id="rId411" Type="http://schemas.openxmlformats.org/officeDocument/2006/relationships/hyperlink" Target="https://handbook.ashrae.org/Handbooks/F25/SI/F25_Ch18/F25_Ch18_si.aspx" TargetMode="External"/><Relationship Id="rId410" Type="http://schemas.openxmlformats.org/officeDocument/2006/relationships/hyperlink" Target="https://www.rolanddg.com/products/milling-machines/mdx-50-benchtop-cnc-mill/specifications" TargetMode="External"/><Relationship Id="rId206" Type="http://schemas.openxmlformats.org/officeDocument/2006/relationships/hyperlink" Target="https://manuals.fronius.com/html/4204260207/en.html" TargetMode="External"/><Relationship Id="rId327" Type="http://schemas.openxmlformats.org/officeDocument/2006/relationships/hyperlink" Target="https://www.safaridental.com/wp-content/uploads/2024/04/SAF-3000-Manuel-Instruction-EN.pdf" TargetMode="External"/><Relationship Id="rId205" Type="http://schemas.openxmlformats.org/officeDocument/2006/relationships/hyperlink" Target="https://www.weller-tools.com/sites/default/files/products/documents/WEL_ZeroSmog_EL_T0055740802_web.pdf" TargetMode="External"/><Relationship Id="rId326" Type="http://schemas.openxmlformats.org/officeDocument/2006/relationships/hyperlink" Target="https://tpcdental.com/downloads/2026_TPC_Catalog%20copy_No_Pricing.pdf" TargetMode="External"/><Relationship Id="rId204" Type="http://schemas.openxmlformats.org/officeDocument/2006/relationships/hyperlink" Target="https://handbook.ashrae.org/Handbooks/F25/SI/F25_Ch18/F25_Ch18_si.aspx" TargetMode="External"/><Relationship Id="rId325" Type="http://schemas.openxmlformats.org/officeDocument/2006/relationships/hyperlink" Target="https://www.follettice.com/file/13011/download?token=ALUuinLr" TargetMode="External"/><Relationship Id="rId203" Type="http://schemas.openxmlformats.org/officeDocument/2006/relationships/hyperlink" Target="https://www.bosch-diy.com/at/de/p/pbd-40-0603b07000" TargetMode="External"/><Relationship Id="rId324" Type="http://schemas.openxmlformats.org/officeDocument/2006/relationships/hyperlink" Target="https://www.slee.de/es/wp-content/uploads/sites/3/2025/08/Product_Specs_MPS_P_I_2025-08-011.00_EN.pdf" TargetMode="External"/><Relationship Id="rId209" Type="http://schemas.openxmlformats.org/officeDocument/2006/relationships/hyperlink" Target="https://www.rolanddg.com/products/milling-machines/mdx-50-benchtop-cnc-mill/specifications" TargetMode="External"/><Relationship Id="rId208" Type="http://schemas.openxmlformats.org/officeDocument/2006/relationships/hyperlink" Target="https://handbook.ashrae.org/Handbooks/F17/SI/f17_ch18/f17_ch18_si.aspx" TargetMode="External"/><Relationship Id="rId329" Type="http://schemas.openxmlformats.org/officeDocument/2006/relationships/hyperlink" Target="https://cdn.linak.com/-/media/files/data-sheet-source/en/accessory-smps006-data-sheet-eng.pdf" TargetMode="External"/><Relationship Id="rId207" Type="http://schemas.openxmlformats.org/officeDocument/2006/relationships/hyperlink" Target="https://xnet.hypertherm.com/Xnet/library/download/?file=HYP117508" TargetMode="External"/><Relationship Id="rId328" Type="http://schemas.openxmlformats.org/officeDocument/2006/relationships/hyperlink" Target="https://dgshape.com/dwx-53dc/" TargetMode="External"/><Relationship Id="rId202" Type="http://schemas.openxmlformats.org/officeDocument/2006/relationships/hyperlink" Target="https://www.bosch-diy.com/at/de/p/pbd-40-0603b07000" TargetMode="External"/><Relationship Id="rId323" Type="http://schemas.openxmlformats.org/officeDocument/2006/relationships/hyperlink" Target="https://www.slee.de/en/wp-content/uploads/sites/2/2025/04/Product_Specs_MTP_2025-04-013.00_EN.pdf" TargetMode="External"/><Relationship Id="rId201" Type="http://schemas.openxmlformats.org/officeDocument/2006/relationships/hyperlink" Target="https://www.bosch-professional.com/binary/manualsmedia/o518745v21_160992AA24_202411.pdf" TargetMode="External"/><Relationship Id="rId322" Type="http://schemas.openxmlformats.org/officeDocument/2006/relationships/hyperlink" Target="https://www.helmerinc.com/sites/default/files/2020-10/HPR105-GX-Technical-Data-Sheet-380413-1.pdf" TargetMode="External"/><Relationship Id="rId200" Type="http://schemas.openxmlformats.org/officeDocument/2006/relationships/hyperlink" Target="https://www.helmerinc.com/sites/default/files/2022-02/HPR105-GX-Technical-Data-Sheet-380413-1.pdf" TargetMode="External"/><Relationship Id="rId321" Type="http://schemas.openxmlformats.org/officeDocument/2006/relationships/hyperlink" Target="https://www.helmerinc.com/sites/default/files/2019-04/hbr105-gx-technical-data-sheet-380417-1.pdf" TargetMode="External"/><Relationship Id="rId320" Type="http://schemas.openxmlformats.org/officeDocument/2006/relationships/hyperlink" Target="https://documents.cdn.ifixit.com/pXKMHcYVkKBT1HTj.pdf" TargetMode="External"/><Relationship Id="rId316" Type="http://schemas.openxmlformats.org/officeDocument/2006/relationships/hyperlink" Target="https://assets.solventum.com/is/content/mmmspinco/Bair-Hugger-Therapy-775-Service-Manual-Englishpdf" TargetMode="External"/><Relationship Id="rId315" Type="http://schemas.openxmlformats.org/officeDocument/2006/relationships/hyperlink" Target="https://handbook.ashrae.org/Handbooks/F17/SI/f17_ch18/f17_ch18_si.aspx" TargetMode="External"/><Relationship Id="rId314" Type="http://schemas.openxmlformats.org/officeDocument/2006/relationships/hyperlink" Target="https://www.brandon-medical.com/content/uploads/Astramax-B1-01-H001-14feb25-web.pdf" TargetMode="External"/><Relationship Id="rId313" Type="http://schemas.openxmlformats.org/officeDocument/2006/relationships/hyperlink" Target="https://mdc.olympus.eu/asset/084438885177/f22b7caec745618a9865dae1ac36c0a2?content-disposition=inline" TargetMode="External"/><Relationship Id="rId319" Type="http://schemas.openxmlformats.org/officeDocument/2006/relationships/hyperlink" Target="https://www.bdbiosciences.com/content/dam/bdb/marketing-documents/products-pdf-folder/instruments/clinical-cell-analyzers/bd-facslyric-instruct-for-use-emea.pdf" TargetMode="External"/><Relationship Id="rId318" Type="http://schemas.openxmlformats.org/officeDocument/2006/relationships/hyperlink" Target="https://handbook.ashrae.org/Handbooks/F25/SI/F25_Ch18/F25_Ch18_si.aspx" TargetMode="External"/><Relationship Id="rId317" Type="http://schemas.openxmlformats.org/officeDocument/2006/relationships/hyperlink" Target="https://handbook.ashrae.org/Handbooks/F25/SI/F25_Ch18/F25_Ch18_si.aspx" TargetMode="External"/><Relationship Id="rId312" Type="http://schemas.openxmlformats.org/officeDocument/2006/relationships/hyperlink" Target="https://handbook.ashrae.org/Handbooks/F25/SI/F25_Ch18/F25_Ch18_si.aspx" TargetMode="External"/><Relationship Id="rId311" Type="http://schemas.openxmlformats.org/officeDocument/2006/relationships/hyperlink" Target="https://handbook.ashrae.org/Handbooks/F25/SI/F25_Ch18/F25_Ch18_si.aspx" TargetMode="External"/><Relationship Id="rId310" Type="http://schemas.openxmlformats.org/officeDocument/2006/relationships/hyperlink" Target="https://www.draeger.com/Content/Documents/Content/ifu-oxylog-ve300-ifu-9054926-en.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3.88"/>
    <col customWidth="1" min="2" max="2" width="30.13"/>
    <col customWidth="1" min="3" max="3" width="20.13"/>
    <col customWidth="1" min="4" max="5" width="13.88"/>
    <col customWidth="1" min="6" max="6" width="52.63"/>
    <col customWidth="1" min="7" max="8" width="19.5"/>
    <col customWidth="1" min="9" max="9" width="26.38"/>
    <col customWidth="1" min="10" max="10" width="55.13"/>
    <col customWidth="1" min="11" max="11" width="17.0"/>
    <col customWidth="1" min="12" max="12" width="32.63"/>
    <col customWidth="1" min="13" max="13" width="26.38"/>
    <col customWidth="1" min="14" max="14" width="28.88"/>
    <col customWidth="1" min="15" max="15" width="26.38"/>
    <col customWidth="1" min="16" max="26" width="27.63"/>
    <col customWidth="1" min="27" max="28" width="20.13"/>
    <col customWidth="1" min="29" max="29" width="32.63"/>
    <col customWidth="1" min="30" max="30" width="75.13"/>
    <col min="31" max="31" width="16" hidden="0" customWidth="1"/>
    <col min="32" max="32" width="48" hidden="0" customWidth="1"/>
    <col min="33" max="33" width="25" hidden="0" customWidth="1"/>
    <col min="34" max="34" width="65" hidden="0" customWidth="1"/>
  </cols>
  <sheetData>
    <row r="1">
      <c r="A1" s="1" t="s">
        <v>0</v>
      </c>
      <c r="G1" s="1"/>
      <c r="H1" s="1"/>
      <c r="I1" s="1"/>
      <c r="J1" s="1"/>
      <c r="K1" s="1"/>
      <c r="L1" s="1"/>
      <c r="M1" s="1"/>
      <c r="N1" s="1"/>
      <c r="O1" s="1"/>
      <c r="P1" s="1"/>
      <c r="Q1" s="1"/>
      <c r="R1" s="1"/>
      <c r="S1" s="1"/>
      <c r="T1" s="1"/>
      <c r="U1" s="1"/>
      <c r="V1" s="1"/>
      <c r="W1" s="1"/>
      <c r="X1" s="1"/>
      <c r="Y1" s="1"/>
      <c r="Z1" s="1"/>
      <c r="AA1" s="1"/>
      <c r="AB1" s="1"/>
      <c r="AC1" s="1"/>
      <c r="AD1" s="1"/>
    </row>
    <row r="2" ht="36.0" customHeight="1">
      <c r="A2" s="1" t="s">
        <v>1</v>
      </c>
      <c r="G2" s="1"/>
      <c r="H2" s="1"/>
      <c r="I2" s="1"/>
      <c r="J2" s="1"/>
      <c r="K2" s="1"/>
      <c r="L2" s="1"/>
      <c r="M2" s="1"/>
      <c r="N2" s="1"/>
      <c r="O2" s="1"/>
      <c r="P2" s="1"/>
      <c r="Q2" s="1"/>
      <c r="R2" s="1"/>
      <c r="S2" s="1"/>
      <c r="T2" s="1"/>
      <c r="U2" s="1"/>
      <c r="V2" s="1"/>
      <c r="W2" s="1"/>
      <c r="X2" s="1"/>
      <c r="Y2" s="1"/>
      <c r="Z2" s="1"/>
      <c r="AA2" s="1"/>
      <c r="AB2" s="1"/>
      <c r="AC2" s="1"/>
      <c r="AD2" s="1"/>
    </row>
    <row r="3" ht="36.0" customHeight="1">
      <c r="A3" s="1" t="s">
        <v>2</v>
      </c>
      <c r="G3" s="1"/>
      <c r="H3" s="1"/>
      <c r="I3" s="1"/>
      <c r="J3" s="1"/>
      <c r="K3" s="1"/>
      <c r="L3" s="1"/>
      <c r="M3" s="1"/>
      <c r="N3" s="1"/>
      <c r="O3" s="1"/>
      <c r="P3" s="1"/>
      <c r="Q3" s="1"/>
      <c r="R3" s="1"/>
      <c r="S3" s="1"/>
      <c r="T3" s="1"/>
      <c r="U3" s="1"/>
      <c r="V3" s="1"/>
      <c r="W3" s="1"/>
      <c r="X3" s="1"/>
      <c r="Y3" s="1"/>
      <c r="Z3" s="1"/>
      <c r="AA3" s="1"/>
      <c r="AB3" s="1"/>
      <c r="AC3" s="1"/>
      <c r="AD3" s="1"/>
    </row>
    <row r="4">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c r="A5" s="3" t="s">
        <v>3</v>
      </c>
      <c r="B5" s="3" t="s">
        <v>4</v>
      </c>
      <c r="C5" s="4" t="s">
        <v>5</v>
      </c>
      <c r="D5" s="4" t="s">
        <v>6</v>
      </c>
      <c r="E5" s="4" t="s">
        <v>7</v>
      </c>
      <c r="F5" s="4" t="s">
        <v>8</v>
      </c>
      <c r="G5" s="5" t="s">
        <v>9</v>
      </c>
      <c r="H5" s="5" t="s">
        <v>10</v>
      </c>
      <c r="I5" s="5" t="s">
        <v>11</v>
      </c>
      <c r="J5" s="5" t="s">
        <v>12</v>
      </c>
      <c r="K5" s="3" t="s">
        <v>13</v>
      </c>
      <c r="L5" s="3" t="s">
        <v>14</v>
      </c>
      <c r="M5" s="5" t="s">
        <v>15</v>
      </c>
      <c r="N5" s="5" t="s">
        <v>16</v>
      </c>
      <c r="O5" s="5" t="s">
        <v>17</v>
      </c>
      <c r="P5" s="5" t="s">
        <v>18</v>
      </c>
      <c r="Q5" s="5" t="s">
        <v>19</v>
      </c>
      <c r="R5" s="5" t="s">
        <v>20</v>
      </c>
      <c r="S5" s="5" t="s">
        <v>21</v>
      </c>
      <c r="T5" s="5" t="s">
        <v>22</v>
      </c>
      <c r="U5" s="5" t="s">
        <v>23</v>
      </c>
      <c r="V5" s="5" t="s">
        <v>24</v>
      </c>
      <c r="W5" s="5" t="s">
        <v>25</v>
      </c>
      <c r="X5" s="5" t="s">
        <v>26</v>
      </c>
      <c r="Y5" s="5" t="s">
        <v>27</v>
      </c>
      <c r="Z5" s="5" t="s">
        <v>28</v>
      </c>
      <c r="AA5" s="6" t="s">
        <v>29</v>
      </c>
      <c r="AB5" s="6" t="s">
        <v>30</v>
      </c>
      <c r="AC5" s="6" t="s">
        <v>31</v>
      </c>
      <c r="AD5" s="6" t="s">
        <v>32</v>
      </c>
      <c r="AE5" s="96" t="str">
        <v>Equipment ID</v>
      </c>
      <c r="AF5" s="96" t="str">
        <v>Matching aliases (semicolon separated)</v>
      </c>
      <c r="AG5" s="96" t="str">
        <v>Calculation eligibility</v>
      </c>
      <c r="AH5" s="96" t="str">
        <v>Matching requirements</v>
      </c>
    </row>
    <row r="6">
      <c r="A6" s="2" t="s">
        <v>33</v>
      </c>
      <c r="B6" s="2" t="s">
        <v>34</v>
      </c>
      <c r="C6" s="7" t="s">
        <v>35</v>
      </c>
      <c r="D6" s="8">
        <v>65.0</v>
      </c>
      <c r="E6" s="8">
        <v>0.0</v>
      </c>
      <c r="F6" s="7" t="s">
        <v>36</v>
      </c>
      <c r="G6" s="9">
        <v>50.0</v>
      </c>
      <c r="H6" s="10">
        <f t="shared" ref="H6:H107" si="1">G6/1000</f>
        <v>0.05</v>
      </c>
      <c r="I6" s="1" t="s">
        <v>37</v>
      </c>
      <c r="J6" s="1" t="s">
        <v>38</v>
      </c>
      <c r="K6" s="1" t="s">
        <v>39</v>
      </c>
      <c r="L6" s="11" t="s">
        <v>40</v>
      </c>
      <c r="M6" s="1" t="s">
        <v>41</v>
      </c>
      <c r="N6" s="2" t="s">
        <v>42</v>
      </c>
      <c r="O6" s="1">
        <v>65.0</v>
      </c>
      <c r="P6" s="1">
        <v>65.0</v>
      </c>
      <c r="Q6" s="1">
        <v>0.0</v>
      </c>
      <c r="R6" s="1" t="s">
        <v>43</v>
      </c>
      <c r="S6" s="1" t="s">
        <v>44</v>
      </c>
      <c r="T6" s="1" t="s">
        <v>37</v>
      </c>
      <c r="U6" s="1" t="s">
        <v>45</v>
      </c>
      <c r="V6" s="1" t="s">
        <v>46</v>
      </c>
      <c r="W6" s="1" t="s">
        <v>47</v>
      </c>
      <c r="X6" s="1" t="s">
        <v>48</v>
      </c>
      <c r="Y6" s="1" t="s">
        <v>49</v>
      </c>
      <c r="Z6" s="1" t="s">
        <v>50</v>
      </c>
      <c r="AA6" s="12">
        <v>65.0</v>
      </c>
      <c r="AB6" s="12">
        <f t="shared" ref="AB6:AB447" si="2">AA6/1000</f>
        <v>0.065</v>
      </c>
      <c r="AC6" s="13" t="s">
        <v>51</v>
      </c>
      <c r="AD6" s="13" t="s">
        <v>36</v>
      </c>
      <c r="AE6" s="97" t="str">
        <v>EQ-0001</v>
      </c>
      <c r="AF6" s="98" t="str">
        <v>small efficient pc; small efficient personal computer</v>
      </c>
      <c r="AG6" s="98" t="str">
        <v>CONDITIONAL_MATCH</v>
      </c>
      <c r="AH6" s="98" t="str">
        <v>Match model or supported analogue, operating state, room allocation and all conditions in F. Use D/E only.</v>
      </c>
    </row>
    <row r="7">
      <c r="A7" s="2" t="s">
        <v>33</v>
      </c>
      <c r="B7" s="2" t="s">
        <v>52</v>
      </c>
      <c r="C7" s="7" t="s">
        <v>53</v>
      </c>
      <c r="D7" s="8">
        <v>82.0</v>
      </c>
      <c r="E7" s="8">
        <v>0.0</v>
      </c>
      <c r="F7" s="7" t="s">
        <v>54</v>
      </c>
      <c r="G7" s="9">
        <v>100.0</v>
      </c>
      <c r="H7" s="10">
        <f t="shared" si="1"/>
        <v>0.1</v>
      </c>
      <c r="I7" s="1" t="s">
        <v>55</v>
      </c>
      <c r="J7" s="1" t="s">
        <v>56</v>
      </c>
      <c r="K7" s="1" t="s">
        <v>57</v>
      </c>
      <c r="L7" s="11" t="s">
        <v>58</v>
      </c>
      <c r="M7" s="1" t="s">
        <v>41</v>
      </c>
      <c r="N7" s="2" t="s">
        <v>42</v>
      </c>
      <c r="O7" s="1">
        <v>82.0</v>
      </c>
      <c r="P7" s="1">
        <v>82.0</v>
      </c>
      <c r="Q7" s="1">
        <v>0.0</v>
      </c>
      <c r="R7" s="1" t="s">
        <v>43</v>
      </c>
      <c r="S7" s="1" t="s">
        <v>59</v>
      </c>
      <c r="T7" s="1" t="s">
        <v>55</v>
      </c>
      <c r="U7" s="1" t="s">
        <v>45</v>
      </c>
      <c r="V7" s="1" t="s">
        <v>46</v>
      </c>
      <c r="W7" s="1" t="s">
        <v>47</v>
      </c>
      <c r="X7" s="1" t="s">
        <v>48</v>
      </c>
      <c r="Y7" s="1" t="s">
        <v>49</v>
      </c>
      <c r="Z7" s="1" t="s">
        <v>50</v>
      </c>
      <c r="AA7" s="12">
        <v>82.0</v>
      </c>
      <c r="AB7" s="12">
        <f t="shared" si="2"/>
        <v>0.082</v>
      </c>
      <c r="AC7" s="13" t="s">
        <v>51</v>
      </c>
      <c r="AD7" s="13" t="s">
        <v>54</v>
      </c>
      <c r="AE7" s="97" t="str">
        <v>EQ-0002</v>
      </c>
      <c r="AF7" s="98" t="str">
        <v>medium office desktop</v>
      </c>
      <c r="AG7" s="98" t="str">
        <v>CONDITIONAL_MATCH</v>
      </c>
      <c r="AH7" s="98" t="str">
        <v>Match model or supported analogue, operating state, room allocation and all conditions in F. Use D/E only.</v>
      </c>
    </row>
    <row r="8">
      <c r="A8" s="2" t="s">
        <v>33</v>
      </c>
      <c r="B8" s="1" t="s">
        <v>60</v>
      </c>
      <c r="C8" s="13" t="s">
        <v>35</v>
      </c>
      <c r="D8" s="14">
        <v>145.0</v>
      </c>
      <c r="E8" s="14">
        <v>0.0</v>
      </c>
      <c r="F8" s="13" t="s">
        <v>61</v>
      </c>
      <c r="G8" s="9">
        <v>150.0</v>
      </c>
      <c r="H8" s="10">
        <f t="shared" si="1"/>
        <v>0.15</v>
      </c>
      <c r="I8" s="2" t="s">
        <v>62</v>
      </c>
      <c r="J8" s="2" t="s">
        <v>63</v>
      </c>
      <c r="K8" s="2" t="s">
        <v>64</v>
      </c>
      <c r="L8" s="2" t="s">
        <v>65</v>
      </c>
      <c r="M8" s="2" t="s">
        <v>66</v>
      </c>
      <c r="N8" s="2" t="s">
        <v>42</v>
      </c>
      <c r="O8" s="2" t="s">
        <v>67</v>
      </c>
      <c r="P8" s="1" t="s">
        <v>68</v>
      </c>
      <c r="Q8" s="1" t="s">
        <v>68</v>
      </c>
      <c r="R8" s="1" t="s">
        <v>43</v>
      </c>
      <c r="S8" s="1" t="s">
        <v>69</v>
      </c>
      <c r="T8" s="1" t="s">
        <v>62</v>
      </c>
      <c r="U8" s="1" t="s">
        <v>70</v>
      </c>
      <c r="V8" s="1" t="s">
        <v>46</v>
      </c>
      <c r="W8" s="1" t="s">
        <v>47</v>
      </c>
      <c r="X8" s="1" t="s">
        <v>48</v>
      </c>
      <c r="Y8" s="1" t="s">
        <v>49</v>
      </c>
      <c r="Z8" s="1" t="s">
        <v>50</v>
      </c>
      <c r="AA8" s="12">
        <v>145.0</v>
      </c>
      <c r="AB8" s="12">
        <f t="shared" si="2"/>
        <v>0.145</v>
      </c>
      <c r="AC8" s="13" t="s">
        <v>51</v>
      </c>
      <c r="AD8" s="13" t="s">
        <v>61</v>
      </c>
      <c r="AE8" s="97" t="str">
        <v>EQ-0003</v>
      </c>
      <c r="AF8" s="98" t="str">
        <v>medium workstation - heavy work</v>
      </c>
      <c r="AG8" s="98" t="str">
        <v>CONDITIONAL_MATCH</v>
      </c>
      <c r="AH8" s="98" t="str">
        <v>Match model or supported analogue, operating state, room allocation and all conditions in F. Use D/E only.</v>
      </c>
    </row>
    <row r="9">
      <c r="A9" s="2" t="s">
        <v>33</v>
      </c>
      <c r="B9" s="1" t="s">
        <v>71</v>
      </c>
      <c r="C9" s="13" t="s">
        <v>35</v>
      </c>
      <c r="D9" s="14">
        <v>300.0</v>
      </c>
      <c r="E9" s="14">
        <v>0.0</v>
      </c>
      <c r="F9" s="7" t="s">
        <v>72</v>
      </c>
      <c r="G9" s="9">
        <v>300.0</v>
      </c>
      <c r="H9" s="10">
        <f t="shared" si="1"/>
        <v>0.3</v>
      </c>
      <c r="I9" s="2" t="s">
        <v>62</v>
      </c>
      <c r="J9" s="2" t="s">
        <v>73</v>
      </c>
      <c r="K9" s="2" t="s">
        <v>74</v>
      </c>
      <c r="L9" s="2" t="s">
        <v>75</v>
      </c>
      <c r="M9" s="2" t="s">
        <v>66</v>
      </c>
      <c r="N9" s="2" t="s">
        <v>42</v>
      </c>
      <c r="O9" s="2" t="s">
        <v>67</v>
      </c>
      <c r="P9" s="1" t="s">
        <v>68</v>
      </c>
      <c r="Q9" s="1" t="s">
        <v>68</v>
      </c>
      <c r="R9" s="1" t="s">
        <v>43</v>
      </c>
      <c r="S9" s="1" t="s">
        <v>69</v>
      </c>
      <c r="T9" s="1" t="s">
        <v>62</v>
      </c>
      <c r="U9" s="1" t="s">
        <v>70</v>
      </c>
      <c r="V9" s="1" t="s">
        <v>46</v>
      </c>
      <c r="W9" s="1" t="s">
        <v>47</v>
      </c>
      <c r="X9" s="1" t="s">
        <v>48</v>
      </c>
      <c r="Y9" s="1" t="s">
        <v>49</v>
      </c>
      <c r="Z9" s="1" t="s">
        <v>50</v>
      </c>
      <c r="AA9" s="12">
        <v>300.0</v>
      </c>
      <c r="AB9" s="12">
        <f t="shared" si="2"/>
        <v>0.3</v>
      </c>
      <c r="AC9" s="13" t="s">
        <v>51</v>
      </c>
      <c r="AD9" s="13" t="s">
        <v>72</v>
      </c>
      <c r="AE9" s="97" t="str">
        <v>EQ-0004</v>
      </c>
      <c r="AF9" s="98" t="str">
        <v>large workstation - heavy work</v>
      </c>
      <c r="AG9" s="98" t="str">
        <v>CONDITIONAL_MATCH</v>
      </c>
      <c r="AH9" s="98" t="str">
        <v>Match model or supported analogue, operating state, room allocation and all conditions in F. Use D/E only.</v>
      </c>
    </row>
    <row r="10">
      <c r="A10" s="2" t="s">
        <v>33</v>
      </c>
      <c r="B10" s="1" t="s">
        <v>76</v>
      </c>
      <c r="C10" s="13" t="s">
        <v>35</v>
      </c>
      <c r="D10" s="14">
        <v>902.0</v>
      </c>
      <c r="E10" s="14">
        <v>0.0</v>
      </c>
      <c r="F10" s="7" t="s">
        <v>77</v>
      </c>
      <c r="G10" s="9">
        <v>900.0</v>
      </c>
      <c r="H10" s="10">
        <f t="shared" si="1"/>
        <v>0.9</v>
      </c>
      <c r="I10" s="2" t="s">
        <v>62</v>
      </c>
      <c r="J10" s="2" t="s">
        <v>78</v>
      </c>
      <c r="K10" s="2" t="s">
        <v>79</v>
      </c>
      <c r="L10" s="2" t="s">
        <v>75</v>
      </c>
      <c r="M10" s="2" t="s">
        <v>66</v>
      </c>
      <c r="N10" s="2" t="s">
        <v>42</v>
      </c>
      <c r="O10" s="2" t="s">
        <v>67</v>
      </c>
      <c r="P10" s="1" t="s">
        <v>68</v>
      </c>
      <c r="Q10" s="1" t="s">
        <v>68</v>
      </c>
      <c r="R10" s="1" t="s">
        <v>43</v>
      </c>
      <c r="S10" s="1" t="s">
        <v>69</v>
      </c>
      <c r="T10" s="1" t="s">
        <v>62</v>
      </c>
      <c r="U10" s="1" t="s">
        <v>70</v>
      </c>
      <c r="V10" s="1" t="s">
        <v>46</v>
      </c>
      <c r="W10" s="1" t="s">
        <v>47</v>
      </c>
      <c r="X10" s="1" t="s">
        <v>48</v>
      </c>
      <c r="Y10" s="1" t="s">
        <v>49</v>
      </c>
      <c r="Z10" s="1" t="s">
        <v>50</v>
      </c>
      <c r="AA10" s="12">
        <v>902.0</v>
      </c>
      <c r="AB10" s="12">
        <f t="shared" si="2"/>
        <v>0.902</v>
      </c>
      <c r="AC10" s="13" t="s">
        <v>51</v>
      </c>
      <c r="AD10" s="13" t="s">
        <v>77</v>
      </c>
      <c r="AE10" s="97" t="str">
        <v>EQ-0005</v>
      </c>
      <c r="AF10" s="98" t="str">
        <v>very high-powered workstation - heavy work</v>
      </c>
      <c r="AG10" s="98" t="str">
        <v>CONDITIONAL_MATCH</v>
      </c>
      <c r="AH10" s="98" t="str">
        <v>Match model or supported analogue, operating state, room allocation and all conditions in F. Use D/E only.</v>
      </c>
    </row>
    <row r="11">
      <c r="A11" s="2" t="s">
        <v>33</v>
      </c>
      <c r="B11" s="2" t="s">
        <v>80</v>
      </c>
      <c r="C11" s="7" t="s">
        <v>53</v>
      </c>
      <c r="D11" s="8">
        <v>53.0</v>
      </c>
      <c r="E11" s="8">
        <v>0.0</v>
      </c>
      <c r="F11" s="7" t="s">
        <v>81</v>
      </c>
      <c r="G11" s="9">
        <v>50.0</v>
      </c>
      <c r="H11" s="10">
        <f t="shared" si="1"/>
        <v>0.05</v>
      </c>
      <c r="I11" s="1" t="s">
        <v>55</v>
      </c>
      <c r="J11" s="1" t="s">
        <v>82</v>
      </c>
      <c r="K11" s="1" t="s">
        <v>83</v>
      </c>
      <c r="L11" s="11" t="s">
        <v>58</v>
      </c>
      <c r="M11" s="1" t="s">
        <v>41</v>
      </c>
      <c r="N11" s="2" t="s">
        <v>42</v>
      </c>
      <c r="O11" s="1">
        <v>53.0</v>
      </c>
      <c r="P11" s="1">
        <v>53.0</v>
      </c>
      <c r="Q11" s="1">
        <v>0.0</v>
      </c>
      <c r="R11" s="1" t="s">
        <v>43</v>
      </c>
      <c r="S11" s="1" t="s">
        <v>84</v>
      </c>
      <c r="T11" s="1" t="s">
        <v>55</v>
      </c>
      <c r="U11" s="1" t="s">
        <v>45</v>
      </c>
      <c r="V11" s="1" t="s">
        <v>46</v>
      </c>
      <c r="W11" s="1" t="s">
        <v>47</v>
      </c>
      <c r="X11" s="1" t="s">
        <v>48</v>
      </c>
      <c r="Y11" s="1" t="s">
        <v>49</v>
      </c>
      <c r="Z11" s="1" t="s">
        <v>50</v>
      </c>
      <c r="AA11" s="12">
        <v>53.0</v>
      </c>
      <c r="AB11" s="12">
        <f t="shared" si="2"/>
        <v>0.053</v>
      </c>
      <c r="AC11" s="13" t="s">
        <v>51</v>
      </c>
      <c r="AD11" s="13" t="s">
        <v>81</v>
      </c>
      <c r="AE11" s="97" t="str">
        <v>EQ-0006</v>
      </c>
      <c r="AF11" s="98" t="str">
        <v>ordinary laptop</v>
      </c>
      <c r="AG11" s="98" t="str">
        <v>CONDITIONAL_MATCH</v>
      </c>
      <c r="AH11" s="98" t="str">
        <v>Match model or supported analogue, operating state, room allocation and all conditions in F. Use D/E only.</v>
      </c>
    </row>
    <row r="12">
      <c r="A12" s="2" t="s">
        <v>85</v>
      </c>
      <c r="B12" s="2" t="s">
        <v>86</v>
      </c>
      <c r="C12" s="7" t="s">
        <v>87</v>
      </c>
      <c r="D12" s="8">
        <v>11.7</v>
      </c>
      <c r="E12" s="8">
        <v>0.0</v>
      </c>
      <c r="F12" s="7" t="s">
        <v>88</v>
      </c>
      <c r="G12" s="9">
        <v>20.0</v>
      </c>
      <c r="H12" s="10">
        <f t="shared" si="1"/>
        <v>0.02</v>
      </c>
      <c r="I12" s="1" t="s">
        <v>89</v>
      </c>
      <c r="J12" s="1" t="s">
        <v>90</v>
      </c>
      <c r="K12" s="1" t="s">
        <v>91</v>
      </c>
      <c r="L12" s="11" t="s">
        <v>92</v>
      </c>
      <c r="M12" s="1" t="s">
        <v>41</v>
      </c>
      <c r="N12" s="2" t="s">
        <v>42</v>
      </c>
      <c r="O12" s="1">
        <v>11.7</v>
      </c>
      <c r="P12" s="1">
        <v>11.7</v>
      </c>
      <c r="Q12" s="1">
        <v>0.0</v>
      </c>
      <c r="R12" s="1" t="s">
        <v>43</v>
      </c>
      <c r="S12" s="1" t="s">
        <v>93</v>
      </c>
      <c r="T12" s="1" t="s">
        <v>89</v>
      </c>
      <c r="U12" s="1" t="s">
        <v>45</v>
      </c>
      <c r="V12" s="1" t="s">
        <v>46</v>
      </c>
      <c r="W12" s="1" t="s">
        <v>47</v>
      </c>
      <c r="X12" s="1" t="s">
        <v>48</v>
      </c>
      <c r="Y12" s="1" t="s">
        <v>49</v>
      </c>
      <c r="Z12" s="1" t="s">
        <v>50</v>
      </c>
      <c r="AA12" s="12">
        <v>11.7</v>
      </c>
      <c r="AB12" s="12">
        <f t="shared" si="2"/>
        <v>0.0117</v>
      </c>
      <c r="AC12" s="13" t="s">
        <v>51</v>
      </c>
      <c r="AD12" s="13" t="s">
        <v>88</v>
      </c>
      <c r="AE12" s="97" t="str">
        <v>EQ-0007</v>
      </c>
      <c r="AF12" s="98" t="str">
        <v>office monitor</v>
      </c>
      <c r="AG12" s="98" t="str">
        <v>CONDITIONAL_MATCH</v>
      </c>
      <c r="AH12" s="98" t="str">
        <v>Match model or supported analogue, operating state, room allocation and all conditions in F. Use D/E only.</v>
      </c>
    </row>
    <row r="13">
      <c r="A13" s="2" t="s">
        <v>85</v>
      </c>
      <c r="B13" s="2" t="s">
        <v>94</v>
      </c>
      <c r="C13" s="13" t="s">
        <v>87</v>
      </c>
      <c r="D13" s="14">
        <v>315.0</v>
      </c>
      <c r="E13" s="14">
        <v>0.0</v>
      </c>
      <c r="F13" s="13" t="s">
        <v>95</v>
      </c>
      <c r="G13" s="9">
        <v>300.0</v>
      </c>
      <c r="H13" s="10">
        <f t="shared" si="1"/>
        <v>0.3</v>
      </c>
      <c r="I13" s="2" t="s">
        <v>96</v>
      </c>
      <c r="J13" s="2" t="s">
        <v>97</v>
      </c>
      <c r="K13" s="2" t="s">
        <v>98</v>
      </c>
      <c r="L13" s="2" t="s">
        <v>99</v>
      </c>
      <c r="M13" s="2" t="s">
        <v>66</v>
      </c>
      <c r="N13" s="2" t="s">
        <v>42</v>
      </c>
      <c r="O13" s="2" t="s">
        <v>67</v>
      </c>
      <c r="P13" s="1" t="s">
        <v>68</v>
      </c>
      <c r="Q13" s="1" t="s">
        <v>68</v>
      </c>
      <c r="R13" s="1" t="s">
        <v>43</v>
      </c>
      <c r="S13" s="1" t="s">
        <v>69</v>
      </c>
      <c r="T13" s="1" t="s">
        <v>96</v>
      </c>
      <c r="U13" s="1" t="s">
        <v>70</v>
      </c>
      <c r="V13" s="1" t="s">
        <v>46</v>
      </c>
      <c r="W13" s="1" t="s">
        <v>47</v>
      </c>
      <c r="X13" s="1" t="s">
        <v>48</v>
      </c>
      <c r="Y13" s="1" t="s">
        <v>49</v>
      </c>
      <c r="Z13" s="1" t="s">
        <v>50</v>
      </c>
      <c r="AA13" s="12">
        <v>315.0</v>
      </c>
      <c r="AB13" s="12">
        <f t="shared" si="2"/>
        <v>0.315</v>
      </c>
      <c r="AC13" s="13" t="s">
        <v>51</v>
      </c>
      <c r="AD13" s="13" t="s">
        <v>95</v>
      </c>
      <c r="AE13" s="97" t="str">
        <v>EQ-0008</v>
      </c>
      <c r="AF13" s="98" t="str">
        <v>projector</v>
      </c>
      <c r="AG13" s="98" t="str">
        <v>CONDITIONAL_MATCH</v>
      </c>
      <c r="AH13" s="98" t="str">
        <v>Match model or supported analogue, operating state, room allocation and all conditions in F. Use D/E only.</v>
      </c>
    </row>
    <row r="14">
      <c r="A14" s="2" t="s">
        <v>100</v>
      </c>
      <c r="B14" s="2" t="s">
        <v>101</v>
      </c>
      <c r="C14" s="13" t="s">
        <v>87</v>
      </c>
      <c r="D14" s="14">
        <v>5.0</v>
      </c>
      <c r="E14" s="14">
        <v>0.0</v>
      </c>
      <c r="F14" s="7" t="s">
        <v>102</v>
      </c>
      <c r="G14" s="9">
        <v>5.0</v>
      </c>
      <c r="H14" s="10">
        <f t="shared" si="1"/>
        <v>0.005</v>
      </c>
      <c r="I14" s="2" t="s">
        <v>103</v>
      </c>
      <c r="J14" s="2" t="s">
        <v>104</v>
      </c>
      <c r="K14" s="2" t="s">
        <v>105</v>
      </c>
      <c r="L14" s="2" t="s">
        <v>106</v>
      </c>
      <c r="M14" s="2" t="s">
        <v>66</v>
      </c>
      <c r="N14" s="2" t="s">
        <v>42</v>
      </c>
      <c r="O14" s="2" t="s">
        <v>67</v>
      </c>
      <c r="P14" s="1" t="s">
        <v>68</v>
      </c>
      <c r="Q14" s="1" t="s">
        <v>68</v>
      </c>
      <c r="R14" s="1" t="s">
        <v>43</v>
      </c>
      <c r="S14" s="1" t="s">
        <v>69</v>
      </c>
      <c r="T14" s="1" t="s">
        <v>103</v>
      </c>
      <c r="U14" s="1" t="s">
        <v>70</v>
      </c>
      <c r="V14" s="1" t="s">
        <v>46</v>
      </c>
      <c r="W14" s="1" t="s">
        <v>47</v>
      </c>
      <c r="X14" s="1" t="s">
        <v>48</v>
      </c>
      <c r="Y14" s="1" t="s">
        <v>49</v>
      </c>
      <c r="Z14" s="1" t="s">
        <v>50</v>
      </c>
      <c r="AA14" s="12">
        <v>5.0</v>
      </c>
      <c r="AB14" s="12">
        <f t="shared" si="2"/>
        <v>0.005</v>
      </c>
      <c r="AC14" s="13" t="s">
        <v>51</v>
      </c>
      <c r="AD14" s="13" t="s">
        <v>102</v>
      </c>
      <c r="AE14" s="97" t="str">
        <v>EQ-0009</v>
      </c>
      <c r="AF14" s="98" t="str">
        <v>small led bulb</v>
      </c>
      <c r="AG14" s="98" t="str">
        <v>CONDITIONAL_MATCH</v>
      </c>
      <c r="AH14" s="98" t="str">
        <v>Match model or supported analogue, operating state, room allocation and all conditions in F. Use D/E only.</v>
      </c>
    </row>
    <row r="15">
      <c r="A15" s="2" t="s">
        <v>100</v>
      </c>
      <c r="B15" s="2" t="s">
        <v>107</v>
      </c>
      <c r="C15" s="13" t="s">
        <v>87</v>
      </c>
      <c r="D15" s="14">
        <v>8.0</v>
      </c>
      <c r="E15" s="14">
        <v>0.0</v>
      </c>
      <c r="F15" s="7" t="s">
        <v>108</v>
      </c>
      <c r="G15" s="9">
        <v>8.0</v>
      </c>
      <c r="H15" s="10">
        <f t="shared" si="1"/>
        <v>0.008</v>
      </c>
      <c r="I15" s="2" t="s">
        <v>103</v>
      </c>
      <c r="J15" s="2" t="s">
        <v>109</v>
      </c>
      <c r="K15" s="2" t="s">
        <v>110</v>
      </c>
      <c r="L15" s="2" t="s">
        <v>111</v>
      </c>
      <c r="M15" s="2" t="s">
        <v>66</v>
      </c>
      <c r="N15" s="2" t="s">
        <v>42</v>
      </c>
      <c r="O15" s="2" t="s">
        <v>67</v>
      </c>
      <c r="P15" s="1" t="s">
        <v>68</v>
      </c>
      <c r="Q15" s="1" t="s">
        <v>68</v>
      </c>
      <c r="R15" s="1" t="s">
        <v>43</v>
      </c>
      <c r="S15" s="1" t="s">
        <v>69</v>
      </c>
      <c r="T15" s="1" t="s">
        <v>103</v>
      </c>
      <c r="U15" s="1" t="s">
        <v>70</v>
      </c>
      <c r="V15" s="1" t="s">
        <v>46</v>
      </c>
      <c r="W15" s="1" t="s">
        <v>47</v>
      </c>
      <c r="X15" s="1" t="s">
        <v>48</v>
      </c>
      <c r="Y15" s="1" t="s">
        <v>49</v>
      </c>
      <c r="Z15" s="1" t="s">
        <v>50</v>
      </c>
      <c r="AA15" s="12">
        <v>8.0</v>
      </c>
      <c r="AB15" s="12">
        <f t="shared" si="2"/>
        <v>0.008</v>
      </c>
      <c r="AC15" s="13" t="s">
        <v>51</v>
      </c>
      <c r="AD15" s="13" t="s">
        <v>108</v>
      </c>
      <c r="AE15" s="97" t="str">
        <v>EQ-0010</v>
      </c>
      <c r="AF15" s="98" t="str">
        <v>standard led bulb</v>
      </c>
      <c r="AG15" s="98" t="str">
        <v>CONDITIONAL_MATCH</v>
      </c>
      <c r="AH15" s="98" t="str">
        <v>Match model or supported analogue, operating state, room allocation and all conditions in F. Use D/E only.</v>
      </c>
    </row>
    <row r="16">
      <c r="A16" s="2" t="s">
        <v>100</v>
      </c>
      <c r="B16" s="2" t="s">
        <v>112</v>
      </c>
      <c r="C16" s="13" t="s">
        <v>87</v>
      </c>
      <c r="D16" s="14">
        <v>13.0</v>
      </c>
      <c r="E16" s="14">
        <v>0.0</v>
      </c>
      <c r="F16" s="7" t="s">
        <v>113</v>
      </c>
      <c r="G16" s="9">
        <v>13.0</v>
      </c>
      <c r="H16" s="10">
        <f t="shared" si="1"/>
        <v>0.013</v>
      </c>
      <c r="I16" s="2" t="s">
        <v>103</v>
      </c>
      <c r="J16" s="2" t="s">
        <v>114</v>
      </c>
      <c r="K16" s="2" t="s">
        <v>115</v>
      </c>
      <c r="L16" s="2" t="s">
        <v>116</v>
      </c>
      <c r="M16" s="2" t="s">
        <v>66</v>
      </c>
      <c r="N16" s="2" t="s">
        <v>42</v>
      </c>
      <c r="O16" s="2" t="s">
        <v>67</v>
      </c>
      <c r="P16" s="1" t="s">
        <v>68</v>
      </c>
      <c r="Q16" s="1" t="s">
        <v>68</v>
      </c>
      <c r="R16" s="1" t="s">
        <v>43</v>
      </c>
      <c r="S16" s="1" t="s">
        <v>69</v>
      </c>
      <c r="T16" s="1" t="s">
        <v>103</v>
      </c>
      <c r="U16" s="1" t="s">
        <v>70</v>
      </c>
      <c r="V16" s="1" t="s">
        <v>46</v>
      </c>
      <c r="W16" s="1" t="s">
        <v>47</v>
      </c>
      <c r="X16" s="1" t="s">
        <v>48</v>
      </c>
      <c r="Y16" s="1" t="s">
        <v>49</v>
      </c>
      <c r="Z16" s="1" t="s">
        <v>50</v>
      </c>
      <c r="AA16" s="12">
        <v>13.0</v>
      </c>
      <c r="AB16" s="12">
        <f t="shared" si="2"/>
        <v>0.013</v>
      </c>
      <c r="AC16" s="13" t="s">
        <v>51</v>
      </c>
      <c r="AD16" s="13" t="s">
        <v>113</v>
      </c>
      <c r="AE16" s="97" t="str">
        <v>EQ-0011</v>
      </c>
      <c r="AF16" s="98" t="str">
        <v>bright led bulb</v>
      </c>
      <c r="AG16" s="98" t="str">
        <v>CONDITIONAL_MATCH</v>
      </c>
      <c r="AH16" s="98" t="str">
        <v>Match model or supported analogue, operating state, room allocation and all conditions in F. Use D/E only.</v>
      </c>
    </row>
    <row r="17">
      <c r="A17" s="2" t="s">
        <v>100</v>
      </c>
      <c r="B17" s="2" t="s">
        <v>117</v>
      </c>
      <c r="C17" s="13" t="s">
        <v>87</v>
      </c>
      <c r="D17" s="14">
        <v>12.0</v>
      </c>
      <c r="E17" s="14">
        <v>0.0</v>
      </c>
      <c r="F17" s="7" t="s">
        <v>118</v>
      </c>
      <c r="G17" s="9">
        <v>12.0</v>
      </c>
      <c r="H17" s="10">
        <f t="shared" si="1"/>
        <v>0.012</v>
      </c>
      <c r="I17" s="2" t="s">
        <v>103</v>
      </c>
      <c r="J17" s="2" t="s">
        <v>119</v>
      </c>
      <c r="K17" s="2" t="s">
        <v>120</v>
      </c>
      <c r="L17" s="2" t="s">
        <v>121</v>
      </c>
      <c r="M17" s="2" t="s">
        <v>66</v>
      </c>
      <c r="N17" s="2" t="s">
        <v>42</v>
      </c>
      <c r="O17" s="2" t="s">
        <v>67</v>
      </c>
      <c r="P17" s="1" t="s">
        <v>68</v>
      </c>
      <c r="Q17" s="1" t="s">
        <v>68</v>
      </c>
      <c r="R17" s="1" t="s">
        <v>43</v>
      </c>
      <c r="S17" s="1" t="s">
        <v>69</v>
      </c>
      <c r="T17" s="1" t="s">
        <v>103</v>
      </c>
      <c r="U17" s="1" t="s">
        <v>70</v>
      </c>
      <c r="V17" s="1" t="s">
        <v>46</v>
      </c>
      <c r="W17" s="1" t="s">
        <v>47</v>
      </c>
      <c r="X17" s="1" t="s">
        <v>100</v>
      </c>
      <c r="Y17" s="1" t="s">
        <v>122</v>
      </c>
      <c r="Z17" s="1" t="s">
        <v>50</v>
      </c>
      <c r="AA17" s="12">
        <v>12.0</v>
      </c>
      <c r="AB17" s="12">
        <f t="shared" si="2"/>
        <v>0.012</v>
      </c>
      <c r="AC17" s="13" t="s">
        <v>51</v>
      </c>
      <c r="AD17" s="13" t="s">
        <v>118</v>
      </c>
      <c r="AE17" s="97" t="str">
        <v>EQ-0012</v>
      </c>
      <c r="AF17" s="98" t="str">
        <v>led downlight - smaller</v>
      </c>
      <c r="AG17" s="98" t="str">
        <v>CONDITIONAL_MATCH</v>
      </c>
      <c r="AH17" s="98" t="str">
        <v>Match model or supported analogue, operating state, room allocation and all conditions in F. Use D/E only.</v>
      </c>
    </row>
    <row r="18">
      <c r="A18" s="2" t="s">
        <v>100</v>
      </c>
      <c r="B18" s="2" t="s">
        <v>123</v>
      </c>
      <c r="C18" s="13" t="s">
        <v>87</v>
      </c>
      <c r="D18" s="14">
        <v>15.0</v>
      </c>
      <c r="E18" s="14">
        <v>0.0</v>
      </c>
      <c r="F18" s="7" t="s">
        <v>124</v>
      </c>
      <c r="G18" s="9">
        <v>15.0</v>
      </c>
      <c r="H18" s="10">
        <f t="shared" si="1"/>
        <v>0.015</v>
      </c>
      <c r="I18" s="2" t="s">
        <v>103</v>
      </c>
      <c r="J18" s="2" t="s">
        <v>119</v>
      </c>
      <c r="K18" s="2" t="s">
        <v>125</v>
      </c>
      <c r="L18" s="2" t="s">
        <v>126</v>
      </c>
      <c r="M18" s="2" t="s">
        <v>66</v>
      </c>
      <c r="N18" s="2" t="s">
        <v>42</v>
      </c>
      <c r="O18" s="2" t="s">
        <v>67</v>
      </c>
      <c r="P18" s="1" t="s">
        <v>68</v>
      </c>
      <c r="Q18" s="1" t="s">
        <v>68</v>
      </c>
      <c r="R18" s="1" t="s">
        <v>43</v>
      </c>
      <c r="S18" s="1" t="s">
        <v>69</v>
      </c>
      <c r="T18" s="1" t="s">
        <v>103</v>
      </c>
      <c r="U18" s="1" t="s">
        <v>70</v>
      </c>
      <c r="V18" s="1" t="s">
        <v>46</v>
      </c>
      <c r="W18" s="1" t="s">
        <v>47</v>
      </c>
      <c r="X18" s="1" t="s">
        <v>100</v>
      </c>
      <c r="Y18" s="1" t="s">
        <v>122</v>
      </c>
      <c r="Z18" s="1" t="s">
        <v>50</v>
      </c>
      <c r="AA18" s="12">
        <v>15.0</v>
      </c>
      <c r="AB18" s="12">
        <f t="shared" si="2"/>
        <v>0.015</v>
      </c>
      <c r="AC18" s="13" t="s">
        <v>51</v>
      </c>
      <c r="AD18" s="13" t="s">
        <v>124</v>
      </c>
      <c r="AE18" s="97" t="str">
        <v>EQ-0013</v>
      </c>
      <c r="AF18" s="98" t="str">
        <v>led downlight - larger</v>
      </c>
      <c r="AG18" s="98" t="str">
        <v>CONDITIONAL_MATCH</v>
      </c>
      <c r="AH18" s="98" t="str">
        <v>Match model or supported analogue, operating state, room allocation and all conditions in F. Use D/E only.</v>
      </c>
    </row>
    <row r="19">
      <c r="A19" s="2" t="s">
        <v>127</v>
      </c>
      <c r="B19" s="2" t="s">
        <v>128</v>
      </c>
      <c r="C19" s="13" t="s">
        <v>129</v>
      </c>
      <c r="D19" s="14">
        <v>89.0</v>
      </c>
      <c r="E19" s="14">
        <v>0.0</v>
      </c>
      <c r="F19" s="7" t="s">
        <v>130</v>
      </c>
      <c r="G19" s="9">
        <v>80.0</v>
      </c>
      <c r="H19" s="10">
        <f t="shared" si="1"/>
        <v>0.08</v>
      </c>
      <c r="I19" s="2" t="s">
        <v>131</v>
      </c>
      <c r="J19" s="2" t="s">
        <v>132</v>
      </c>
      <c r="K19" s="2" t="s">
        <v>133</v>
      </c>
      <c r="L19" s="2" t="s">
        <v>58</v>
      </c>
      <c r="M19" s="2" t="s">
        <v>66</v>
      </c>
      <c r="N19" s="2" t="s">
        <v>42</v>
      </c>
      <c r="O19" s="2" t="s">
        <v>67</v>
      </c>
      <c r="P19" s="1" t="s">
        <v>68</v>
      </c>
      <c r="Q19" s="1" t="s">
        <v>68</v>
      </c>
      <c r="R19" s="1" t="s">
        <v>134</v>
      </c>
      <c r="S19" s="1" t="s">
        <v>69</v>
      </c>
      <c r="T19" s="1" t="s">
        <v>131</v>
      </c>
      <c r="U19" s="1" t="s">
        <v>70</v>
      </c>
      <c r="V19" s="1" t="s">
        <v>46</v>
      </c>
      <c r="W19" s="1" t="s">
        <v>47</v>
      </c>
      <c r="X19" s="1" t="s">
        <v>48</v>
      </c>
      <c r="Y19" s="1" t="s">
        <v>49</v>
      </c>
      <c r="Z19" s="1" t="s">
        <v>50</v>
      </c>
      <c r="AA19" s="12">
        <v>89.0</v>
      </c>
      <c r="AB19" s="12">
        <f t="shared" si="2"/>
        <v>0.089</v>
      </c>
      <c r="AC19" s="13" t="s">
        <v>51</v>
      </c>
      <c r="AD19" s="13" t="s">
        <v>130</v>
      </c>
      <c r="AE19" s="97" t="str">
        <v>EQ-0014</v>
      </c>
      <c r="AF19" s="98" t="str">
        <v>small laser printer</v>
      </c>
      <c r="AG19" s="98" t="str">
        <v>CONDITIONAL_MATCH</v>
      </c>
      <c r="AH19" s="98" t="str">
        <v>Match model or supported analogue, operating state, room allocation and all conditions in F. Use D/E only.</v>
      </c>
    </row>
    <row r="20">
      <c r="A20" s="2" t="s">
        <v>127</v>
      </c>
      <c r="B20" s="2" t="s">
        <v>135</v>
      </c>
      <c r="C20" s="13" t="s">
        <v>129</v>
      </c>
      <c r="D20" s="14">
        <v>540.0</v>
      </c>
      <c r="E20" s="14">
        <v>0.0</v>
      </c>
      <c r="F20" s="7" t="s">
        <v>136</v>
      </c>
      <c r="G20" s="9">
        <v>400.0</v>
      </c>
      <c r="H20" s="10">
        <f t="shared" si="1"/>
        <v>0.4</v>
      </c>
      <c r="I20" s="2" t="s">
        <v>131</v>
      </c>
      <c r="J20" s="2" t="s">
        <v>137</v>
      </c>
      <c r="K20" s="2" t="s">
        <v>138</v>
      </c>
      <c r="L20" s="2" t="s">
        <v>58</v>
      </c>
      <c r="M20" s="2" t="s">
        <v>66</v>
      </c>
      <c r="N20" s="2" t="s">
        <v>42</v>
      </c>
      <c r="O20" s="2" t="s">
        <v>67</v>
      </c>
      <c r="P20" s="1" t="s">
        <v>68</v>
      </c>
      <c r="Q20" s="1" t="s">
        <v>68</v>
      </c>
      <c r="R20" s="1" t="s">
        <v>134</v>
      </c>
      <c r="S20" s="1" t="s">
        <v>69</v>
      </c>
      <c r="T20" s="1" t="s">
        <v>131</v>
      </c>
      <c r="U20" s="1" t="s">
        <v>70</v>
      </c>
      <c r="V20" s="1" t="s">
        <v>46</v>
      </c>
      <c r="W20" s="1" t="s">
        <v>47</v>
      </c>
      <c r="X20" s="1" t="s">
        <v>48</v>
      </c>
      <c r="Y20" s="1" t="s">
        <v>49</v>
      </c>
      <c r="Z20" s="1" t="s">
        <v>50</v>
      </c>
      <c r="AA20" s="12">
        <v>540.0</v>
      </c>
      <c r="AB20" s="12">
        <f t="shared" si="2"/>
        <v>0.54</v>
      </c>
      <c r="AC20" s="13" t="s">
        <v>51</v>
      </c>
      <c r="AD20" s="13" t="s">
        <v>136</v>
      </c>
      <c r="AE20" s="97" t="str">
        <v>EQ-0015</v>
      </c>
      <c r="AF20" s="98" t="str">
        <v>large multifunction printer</v>
      </c>
      <c r="AG20" s="98" t="str">
        <v>CONDITIONAL_MATCH</v>
      </c>
      <c r="AH20" s="98" t="str">
        <v>Match model or supported analogue, operating state, room allocation and all conditions in F. Use D/E only.</v>
      </c>
    </row>
    <row r="21">
      <c r="A21" s="2" t="s">
        <v>127</v>
      </c>
      <c r="B21" s="2" t="s">
        <v>139</v>
      </c>
      <c r="C21" s="13" t="s">
        <v>87</v>
      </c>
      <c r="D21" s="14">
        <v>10.0</v>
      </c>
      <c r="E21" s="14">
        <v>0.0</v>
      </c>
      <c r="F21" s="7" t="s">
        <v>140</v>
      </c>
      <c r="G21" s="9">
        <v>10.0</v>
      </c>
      <c r="H21" s="10">
        <f t="shared" si="1"/>
        <v>0.01</v>
      </c>
      <c r="I21" s="2" t="s">
        <v>141</v>
      </c>
      <c r="J21" s="2" t="s">
        <v>142</v>
      </c>
      <c r="K21" s="2" t="s">
        <v>143</v>
      </c>
      <c r="L21" s="2" t="s">
        <v>58</v>
      </c>
      <c r="M21" s="2" t="s">
        <v>66</v>
      </c>
      <c r="N21" s="2" t="s">
        <v>42</v>
      </c>
      <c r="O21" s="2" t="s">
        <v>67</v>
      </c>
      <c r="P21" s="1" t="s">
        <v>68</v>
      </c>
      <c r="Q21" s="1" t="s">
        <v>68</v>
      </c>
      <c r="R21" s="1" t="s">
        <v>134</v>
      </c>
      <c r="S21" s="1" t="s">
        <v>69</v>
      </c>
      <c r="T21" s="1" t="s">
        <v>141</v>
      </c>
      <c r="U21" s="1" t="s">
        <v>70</v>
      </c>
      <c r="V21" s="1" t="s">
        <v>46</v>
      </c>
      <c r="W21" s="1" t="s">
        <v>47</v>
      </c>
      <c r="X21" s="1" t="s">
        <v>48</v>
      </c>
      <c r="Y21" s="1" t="s">
        <v>49</v>
      </c>
      <c r="Z21" s="1" t="s">
        <v>50</v>
      </c>
      <c r="AA21" s="12">
        <v>10.0</v>
      </c>
      <c r="AB21" s="12">
        <f t="shared" si="2"/>
        <v>0.01</v>
      </c>
      <c r="AC21" s="13" t="s">
        <v>51</v>
      </c>
      <c r="AD21" s="13" t="s">
        <v>140</v>
      </c>
      <c r="AE21" s="97" t="str">
        <v>EQ-0016</v>
      </c>
      <c r="AF21" s="98" t="str">
        <v>cash register</v>
      </c>
      <c r="AG21" s="98" t="str">
        <v>CONDITIONAL_MATCH</v>
      </c>
      <c r="AH21" s="98" t="str">
        <v>Match model or supported analogue, operating state, room allocation and all conditions in F. Use D/E only.</v>
      </c>
    </row>
    <row r="22">
      <c r="A22" s="2" t="s">
        <v>144</v>
      </c>
      <c r="B22" s="2" t="s">
        <v>145</v>
      </c>
      <c r="C22" s="7" t="s">
        <v>87</v>
      </c>
      <c r="D22" s="8">
        <v>45.0</v>
      </c>
      <c r="E22" s="8">
        <v>0.0</v>
      </c>
      <c r="F22" s="7" t="s">
        <v>146</v>
      </c>
      <c r="G22" s="9">
        <v>100.0</v>
      </c>
      <c r="H22" s="10">
        <f t="shared" si="1"/>
        <v>0.1</v>
      </c>
      <c r="I22" s="1" t="s">
        <v>147</v>
      </c>
      <c r="J22" s="1" t="s">
        <v>148</v>
      </c>
      <c r="K22" s="1" t="s">
        <v>149</v>
      </c>
      <c r="L22" s="11" t="s">
        <v>150</v>
      </c>
      <c r="M22" s="1" t="s">
        <v>41</v>
      </c>
      <c r="N22" s="2" t="s">
        <v>42</v>
      </c>
      <c r="O22" s="1">
        <v>45.0</v>
      </c>
      <c r="P22" s="1">
        <v>45.0</v>
      </c>
      <c r="Q22" s="1">
        <v>0.0</v>
      </c>
      <c r="R22" s="1" t="s">
        <v>43</v>
      </c>
      <c r="S22" s="1" t="s">
        <v>151</v>
      </c>
      <c r="T22" s="1" t="s">
        <v>147</v>
      </c>
      <c r="U22" s="1" t="s">
        <v>45</v>
      </c>
      <c r="V22" s="1" t="s">
        <v>46</v>
      </c>
      <c r="W22" s="1" t="s">
        <v>47</v>
      </c>
      <c r="X22" s="1" t="s">
        <v>152</v>
      </c>
      <c r="Y22" s="1" t="s">
        <v>153</v>
      </c>
      <c r="Z22" s="1" t="s">
        <v>50</v>
      </c>
      <c r="AA22" s="12">
        <v>45.0</v>
      </c>
      <c r="AB22" s="12">
        <f t="shared" si="2"/>
        <v>0.045</v>
      </c>
      <c r="AC22" s="13" t="s">
        <v>51</v>
      </c>
      <c r="AD22" s="13" t="s">
        <v>146</v>
      </c>
      <c r="AE22" s="97" t="str">
        <v>EQ-0017</v>
      </c>
      <c r="AF22" s="98" t="str">
        <v>ceiling fan - older ac type</v>
      </c>
      <c r="AG22" s="98" t="str">
        <v>CONDITIONAL_MATCH</v>
      </c>
      <c r="AH22" s="98" t="str">
        <v>Match model or supported analogue, operating state, room allocation and all conditions in F. Use D/E only.</v>
      </c>
    </row>
    <row r="23">
      <c r="A23" s="2" t="s">
        <v>154</v>
      </c>
      <c r="B23" s="2" t="s">
        <v>155</v>
      </c>
      <c r="C23" s="13" t="s">
        <v>87</v>
      </c>
      <c r="D23" s="14">
        <v>1500.0</v>
      </c>
      <c r="E23" s="14">
        <v>0.0</v>
      </c>
      <c r="F23" s="7" t="s">
        <v>156</v>
      </c>
      <c r="G23" s="9">
        <v>1500.0</v>
      </c>
      <c r="H23" s="10">
        <f t="shared" si="1"/>
        <v>1.5</v>
      </c>
      <c r="I23" s="2" t="s">
        <v>157</v>
      </c>
      <c r="J23" s="2" t="s">
        <v>158</v>
      </c>
      <c r="K23" s="2" t="s">
        <v>159</v>
      </c>
      <c r="L23" s="2" t="s">
        <v>160</v>
      </c>
      <c r="M23" s="2" t="s">
        <v>66</v>
      </c>
      <c r="N23" s="2" t="s">
        <v>42</v>
      </c>
      <c r="O23" s="2" t="s">
        <v>67</v>
      </c>
      <c r="P23" s="1" t="s">
        <v>68</v>
      </c>
      <c r="Q23" s="1" t="s">
        <v>68</v>
      </c>
      <c r="R23" s="1" t="s">
        <v>43</v>
      </c>
      <c r="S23" s="1" t="s">
        <v>69</v>
      </c>
      <c r="T23" s="1" t="s">
        <v>157</v>
      </c>
      <c r="U23" s="1" t="s">
        <v>70</v>
      </c>
      <c r="V23" s="1" t="s">
        <v>46</v>
      </c>
      <c r="W23" s="1" t="s">
        <v>47</v>
      </c>
      <c r="X23" s="1" t="s">
        <v>48</v>
      </c>
      <c r="Y23" s="1" t="s">
        <v>49</v>
      </c>
      <c r="Z23" s="1" t="s">
        <v>50</v>
      </c>
      <c r="AA23" s="12">
        <v>1500.0</v>
      </c>
      <c r="AB23" s="12">
        <f t="shared" si="2"/>
        <v>1.5</v>
      </c>
      <c r="AC23" s="13" t="s">
        <v>51</v>
      </c>
      <c r="AD23" s="13" t="s">
        <v>156</v>
      </c>
      <c r="AE23" s="97" t="str">
        <v>EQ-0018</v>
      </c>
      <c r="AF23" s="98" t="str">
        <v>portable electric heater</v>
      </c>
      <c r="AG23" s="98" t="str">
        <v>CONDITIONAL_MATCH</v>
      </c>
      <c r="AH23" s="98" t="str">
        <v>Match model or supported analogue, operating state, room allocation and all conditions in F. Use D/E only.</v>
      </c>
    </row>
    <row r="24">
      <c r="A24" s="2" t="s">
        <v>154</v>
      </c>
      <c r="B24" s="2" t="s">
        <v>161</v>
      </c>
      <c r="C24" s="13" t="s">
        <v>87</v>
      </c>
      <c r="D24" s="14">
        <v>60.0</v>
      </c>
      <c r="E24" s="14">
        <v>0.0</v>
      </c>
      <c r="F24" s="7" t="s">
        <v>162</v>
      </c>
      <c r="G24" s="9">
        <v>60.0</v>
      </c>
      <c r="H24" s="10">
        <f t="shared" si="1"/>
        <v>0.06</v>
      </c>
      <c r="I24" s="2" t="s">
        <v>157</v>
      </c>
      <c r="J24" s="2" t="s">
        <v>163</v>
      </c>
      <c r="K24" s="2" t="s">
        <v>164</v>
      </c>
      <c r="L24" s="2" t="s">
        <v>160</v>
      </c>
      <c r="M24" s="2" t="s">
        <v>66</v>
      </c>
      <c r="N24" s="2" t="s">
        <v>42</v>
      </c>
      <c r="O24" s="2" t="s">
        <v>67</v>
      </c>
      <c r="P24" s="1" t="s">
        <v>68</v>
      </c>
      <c r="Q24" s="1" t="s">
        <v>68</v>
      </c>
      <c r="R24" s="1" t="s">
        <v>43</v>
      </c>
      <c r="S24" s="1" t="s">
        <v>69</v>
      </c>
      <c r="T24" s="1" t="s">
        <v>157</v>
      </c>
      <c r="U24" s="1" t="s">
        <v>70</v>
      </c>
      <c r="V24" s="1" t="s">
        <v>46</v>
      </c>
      <c r="W24" s="1" t="s">
        <v>47</v>
      </c>
      <c r="X24" s="1" t="s">
        <v>48</v>
      </c>
      <c r="Y24" s="1" t="s">
        <v>49</v>
      </c>
      <c r="Z24" s="1" t="s">
        <v>50</v>
      </c>
      <c r="AA24" s="12">
        <v>60.0</v>
      </c>
      <c r="AB24" s="12">
        <f t="shared" si="2"/>
        <v>0.06</v>
      </c>
      <c r="AC24" s="13" t="s">
        <v>51</v>
      </c>
      <c r="AD24" s="13" t="s">
        <v>162</v>
      </c>
      <c r="AE24" s="97" t="str">
        <v>EQ-0019</v>
      </c>
      <c r="AF24" s="98" t="str">
        <v>single electric blanket</v>
      </c>
      <c r="AG24" s="98" t="str">
        <v>CONDITIONAL_MATCH</v>
      </c>
      <c r="AH24" s="98" t="str">
        <v>Match model or supported analogue, operating state, room allocation and all conditions in F. Use D/E only.</v>
      </c>
    </row>
    <row r="25">
      <c r="A25" s="2" t="s">
        <v>154</v>
      </c>
      <c r="B25" s="2" t="s">
        <v>165</v>
      </c>
      <c r="C25" s="13" t="s">
        <v>87</v>
      </c>
      <c r="D25" s="14">
        <v>100.0</v>
      </c>
      <c r="E25" s="14">
        <v>0.0</v>
      </c>
      <c r="F25" s="7" t="s">
        <v>166</v>
      </c>
      <c r="G25" s="9">
        <v>100.0</v>
      </c>
      <c r="H25" s="10">
        <f t="shared" si="1"/>
        <v>0.1</v>
      </c>
      <c r="I25" s="2" t="s">
        <v>157</v>
      </c>
      <c r="J25" s="2" t="s">
        <v>163</v>
      </c>
      <c r="K25" s="2" t="s">
        <v>167</v>
      </c>
      <c r="L25" s="2" t="s">
        <v>160</v>
      </c>
      <c r="M25" s="2" t="s">
        <v>66</v>
      </c>
      <c r="N25" s="2" t="s">
        <v>42</v>
      </c>
      <c r="O25" s="2" t="s">
        <v>67</v>
      </c>
      <c r="P25" s="1" t="s">
        <v>68</v>
      </c>
      <c r="Q25" s="1" t="s">
        <v>68</v>
      </c>
      <c r="R25" s="1" t="s">
        <v>43</v>
      </c>
      <c r="S25" s="1" t="s">
        <v>69</v>
      </c>
      <c r="T25" s="1" t="s">
        <v>157</v>
      </c>
      <c r="U25" s="1" t="s">
        <v>70</v>
      </c>
      <c r="V25" s="1" t="s">
        <v>46</v>
      </c>
      <c r="W25" s="1" t="s">
        <v>47</v>
      </c>
      <c r="X25" s="1" t="s">
        <v>48</v>
      </c>
      <c r="Y25" s="1" t="s">
        <v>49</v>
      </c>
      <c r="Z25" s="1" t="s">
        <v>50</v>
      </c>
      <c r="AA25" s="12">
        <v>100.0</v>
      </c>
      <c r="AB25" s="12">
        <f t="shared" si="2"/>
        <v>0.1</v>
      </c>
      <c r="AC25" s="13" t="s">
        <v>51</v>
      </c>
      <c r="AD25" s="13" t="s">
        <v>166</v>
      </c>
      <c r="AE25" s="97" t="str">
        <v>EQ-0020</v>
      </c>
      <c r="AF25" s="98" t="str">
        <v>double electric blanket</v>
      </c>
      <c r="AG25" s="98" t="str">
        <v>CONDITIONAL_MATCH</v>
      </c>
      <c r="AH25" s="98" t="str">
        <v>Match model or supported analogue, operating state, room allocation and all conditions in F. Use D/E only.</v>
      </c>
    </row>
    <row r="26">
      <c r="A26" s="2" t="s">
        <v>168</v>
      </c>
      <c r="B26" s="2" t="s">
        <v>169</v>
      </c>
      <c r="C26" s="13" t="s">
        <v>87</v>
      </c>
      <c r="D26" s="14">
        <v>10.0</v>
      </c>
      <c r="E26" s="14">
        <v>0.0</v>
      </c>
      <c r="F26" s="7" t="s">
        <v>170</v>
      </c>
      <c r="G26" s="9">
        <v>10.0</v>
      </c>
      <c r="H26" s="10">
        <f t="shared" si="1"/>
        <v>0.01</v>
      </c>
      <c r="I26" s="2" t="s">
        <v>171</v>
      </c>
      <c r="J26" s="2" t="s">
        <v>172</v>
      </c>
      <c r="K26" s="2" t="s">
        <v>173</v>
      </c>
      <c r="L26" s="2" t="s">
        <v>160</v>
      </c>
      <c r="M26" s="2" t="s">
        <v>66</v>
      </c>
      <c r="N26" s="2" t="s">
        <v>42</v>
      </c>
      <c r="O26" s="2" t="s">
        <v>67</v>
      </c>
      <c r="P26" s="1" t="s">
        <v>68</v>
      </c>
      <c r="Q26" s="1" t="s">
        <v>68</v>
      </c>
      <c r="R26" s="1" t="s">
        <v>43</v>
      </c>
      <c r="S26" s="1" t="s">
        <v>69</v>
      </c>
      <c r="T26" s="1" t="s">
        <v>171</v>
      </c>
      <c r="U26" s="1" t="s">
        <v>70</v>
      </c>
      <c r="V26" s="1" t="s">
        <v>46</v>
      </c>
      <c r="W26" s="1" t="s">
        <v>47</v>
      </c>
      <c r="X26" s="1" t="s">
        <v>174</v>
      </c>
      <c r="Y26" s="1" t="s">
        <v>175</v>
      </c>
      <c r="Z26" s="1" t="s">
        <v>50</v>
      </c>
      <c r="AA26" s="12">
        <v>10.0</v>
      </c>
      <c r="AB26" s="12">
        <f t="shared" si="2"/>
        <v>0.01</v>
      </c>
      <c r="AC26" s="13" t="s">
        <v>51</v>
      </c>
      <c r="AD26" s="13" t="s">
        <v>170</v>
      </c>
      <c r="AE26" s="97" t="str">
        <v>EQ-0021</v>
      </c>
      <c r="AF26" s="98" t="str">
        <v>clock radio</v>
      </c>
      <c r="AG26" s="98" t="str">
        <v>CONDITIONAL_MATCH</v>
      </c>
      <c r="AH26" s="98" t="str">
        <v>Match model or supported analogue, operating state, room allocation and all conditions in F. Use D/E only.</v>
      </c>
    </row>
    <row r="27">
      <c r="A27" s="2" t="s">
        <v>176</v>
      </c>
      <c r="B27" s="2" t="s">
        <v>177</v>
      </c>
      <c r="C27" s="7" t="s">
        <v>178</v>
      </c>
      <c r="D27" s="8">
        <v>57.0</v>
      </c>
      <c r="E27" s="8">
        <v>0.0</v>
      </c>
      <c r="F27" s="7" t="s">
        <v>179</v>
      </c>
      <c r="G27" s="15">
        <v>57.0</v>
      </c>
      <c r="H27" s="10">
        <f t="shared" si="1"/>
        <v>0.057</v>
      </c>
      <c r="I27" s="1" t="s">
        <v>180</v>
      </c>
      <c r="J27" s="1" t="s">
        <v>179</v>
      </c>
      <c r="K27" s="1" t="s">
        <v>181</v>
      </c>
      <c r="L27" s="11" t="s">
        <v>58</v>
      </c>
      <c r="M27" s="1" t="s">
        <v>182</v>
      </c>
      <c r="N27" s="2" t="s">
        <v>42</v>
      </c>
      <c r="O27" s="2" t="s">
        <v>67</v>
      </c>
      <c r="P27" s="1">
        <v>57.0</v>
      </c>
      <c r="Q27" s="1">
        <v>0.0</v>
      </c>
      <c r="R27" s="1" t="s">
        <v>43</v>
      </c>
      <c r="S27" s="1" t="s">
        <v>183</v>
      </c>
      <c r="T27" s="1" t="s">
        <v>184</v>
      </c>
      <c r="U27" s="1" t="s">
        <v>185</v>
      </c>
      <c r="V27" s="1" t="s">
        <v>46</v>
      </c>
      <c r="W27" s="1" t="s">
        <v>47</v>
      </c>
      <c r="X27" s="1" t="s">
        <v>48</v>
      </c>
      <c r="Y27" s="1" t="s">
        <v>49</v>
      </c>
      <c r="Z27" s="1" t="s">
        <v>50</v>
      </c>
      <c r="AA27" s="12">
        <v>57.0</v>
      </c>
      <c r="AB27" s="12">
        <f t="shared" si="2"/>
        <v>0.057</v>
      </c>
      <c r="AC27" s="13" t="s">
        <v>51</v>
      </c>
      <c r="AD27" s="13" t="s">
        <v>179</v>
      </c>
      <c r="AE27" s="97" t="str">
        <v>EQ-0022</v>
      </c>
      <c r="AF27" s="98" t="str">
        <v>mini fridge - 88 l sample</v>
      </c>
      <c r="AG27" s="98" t="str">
        <v>CONDITIONAL_MATCH</v>
      </c>
      <c r="AH27" s="98" t="str">
        <v>Match model or supported analogue, operating state, room allocation and all conditions in F. Use D/E only.</v>
      </c>
    </row>
    <row r="28">
      <c r="A28" s="2" t="s">
        <v>176</v>
      </c>
      <c r="B28" s="2" t="s">
        <v>186</v>
      </c>
      <c r="C28" s="7" t="s">
        <v>178</v>
      </c>
      <c r="D28" s="8">
        <v>125.0</v>
      </c>
      <c r="E28" s="8">
        <v>0.0</v>
      </c>
      <c r="F28" s="7" t="s">
        <v>187</v>
      </c>
      <c r="G28" s="15">
        <v>125.0</v>
      </c>
      <c r="H28" s="10">
        <f t="shared" si="1"/>
        <v>0.125</v>
      </c>
      <c r="I28" s="1" t="s">
        <v>180</v>
      </c>
      <c r="J28" s="1" t="s">
        <v>187</v>
      </c>
      <c r="K28" s="1" t="s">
        <v>181</v>
      </c>
      <c r="L28" s="11" t="s">
        <v>58</v>
      </c>
      <c r="M28" s="1" t="s">
        <v>182</v>
      </c>
      <c r="N28" s="2" t="s">
        <v>42</v>
      </c>
      <c r="O28" s="2" t="s">
        <v>67</v>
      </c>
      <c r="P28" s="1">
        <v>125.0</v>
      </c>
      <c r="Q28" s="1">
        <v>0.0</v>
      </c>
      <c r="R28" s="1" t="s">
        <v>43</v>
      </c>
      <c r="S28" s="1" t="s">
        <v>188</v>
      </c>
      <c r="T28" s="1" t="s">
        <v>184</v>
      </c>
      <c r="U28" s="1" t="s">
        <v>185</v>
      </c>
      <c r="V28" s="1" t="s">
        <v>46</v>
      </c>
      <c r="W28" s="1" t="s">
        <v>47</v>
      </c>
      <c r="X28" s="1" t="s">
        <v>176</v>
      </c>
      <c r="Y28" s="1" t="s">
        <v>189</v>
      </c>
      <c r="Z28" s="1" t="s">
        <v>50</v>
      </c>
      <c r="AA28" s="12">
        <v>125.0</v>
      </c>
      <c r="AB28" s="12">
        <f t="shared" si="2"/>
        <v>0.125</v>
      </c>
      <c r="AC28" s="13" t="s">
        <v>51</v>
      </c>
      <c r="AD28" s="13" t="s">
        <v>187</v>
      </c>
      <c r="AE28" s="97" t="str">
        <v>EQ-0023</v>
      </c>
      <c r="AF28" s="98" t="str">
        <v>freezer - 510 l sample</v>
      </c>
      <c r="AG28" s="98" t="str">
        <v>CONDITIONAL_MATCH</v>
      </c>
      <c r="AH28" s="98" t="str">
        <v>Match model or supported analogue, operating state, room allocation and all conditions in F. Use D/E only.</v>
      </c>
    </row>
    <row r="29">
      <c r="A29" s="2" t="s">
        <v>176</v>
      </c>
      <c r="B29" s="2" t="s">
        <v>190</v>
      </c>
      <c r="C29" s="7" t="s">
        <v>178</v>
      </c>
      <c r="D29" s="8">
        <v>430.0</v>
      </c>
      <c r="E29" s="8">
        <v>0.0</v>
      </c>
      <c r="F29" s="7" t="s">
        <v>191</v>
      </c>
      <c r="G29" s="15">
        <v>430.0</v>
      </c>
      <c r="H29" s="10">
        <f t="shared" si="1"/>
        <v>0.43</v>
      </c>
      <c r="I29" s="1" t="s">
        <v>180</v>
      </c>
      <c r="J29" s="1" t="s">
        <v>191</v>
      </c>
      <c r="K29" s="1" t="s">
        <v>181</v>
      </c>
      <c r="L29" s="11" t="s">
        <v>58</v>
      </c>
      <c r="M29" s="1" t="s">
        <v>182</v>
      </c>
      <c r="N29" s="2" t="s">
        <v>42</v>
      </c>
      <c r="O29" s="2" t="s">
        <v>67</v>
      </c>
      <c r="P29" s="1">
        <v>430.0</v>
      </c>
      <c r="Q29" s="1">
        <v>0.0</v>
      </c>
      <c r="R29" s="1" t="s">
        <v>43</v>
      </c>
      <c r="S29" s="1" t="s">
        <v>192</v>
      </c>
      <c r="T29" s="1" t="s">
        <v>184</v>
      </c>
      <c r="U29" s="1" t="s">
        <v>185</v>
      </c>
      <c r="V29" s="1" t="s">
        <v>46</v>
      </c>
      <c r="W29" s="1" t="s">
        <v>47</v>
      </c>
      <c r="X29" s="1" t="s">
        <v>48</v>
      </c>
      <c r="Y29" s="1" t="s">
        <v>49</v>
      </c>
      <c r="Z29" s="1" t="s">
        <v>50</v>
      </c>
      <c r="AA29" s="12">
        <v>430.0</v>
      </c>
      <c r="AB29" s="12">
        <f t="shared" si="2"/>
        <v>0.43</v>
      </c>
      <c r="AC29" s="13" t="s">
        <v>51</v>
      </c>
      <c r="AD29" s="13" t="s">
        <v>191</v>
      </c>
      <c r="AE29" s="97" t="str">
        <v>EQ-0024</v>
      </c>
      <c r="AF29" s="98" t="str">
        <v>fridge - 510 l sample</v>
      </c>
      <c r="AG29" s="98" t="str">
        <v>CONDITIONAL_MATCH</v>
      </c>
      <c r="AH29" s="98" t="str">
        <v>Match model or supported analogue, operating state, room allocation and all conditions in F. Use D/E only.</v>
      </c>
    </row>
    <row r="30">
      <c r="A30" s="2" t="s">
        <v>176</v>
      </c>
      <c r="B30" s="2" t="s">
        <v>193</v>
      </c>
      <c r="C30" s="13" t="s">
        <v>194</v>
      </c>
      <c r="D30" s="14" t="s">
        <v>67</v>
      </c>
      <c r="E30" s="14" t="s">
        <v>67</v>
      </c>
      <c r="F30" s="7" t="inlineStr">
        <is>
          <t>Further research required if this item is used in the project. NUMERIC EXAMPLE: 658 W (0.658 kW); EXISTING REFERENCE — scope/state limits apply.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t>
        </is>
      </c>
      <c r="G30" s="15">
        <v>658.0</v>
      </c>
      <c r="H30" s="10">
        <f t="shared" si="1"/>
        <v>0.658</v>
      </c>
      <c r="I30" s="2" t="s">
        <v>196</v>
      </c>
      <c r="J30" s="1" t="s">
        <v>197</v>
      </c>
      <c r="K30" s="1" t="s">
        <v>198</v>
      </c>
      <c r="L30" s="2" t="s">
        <v>58</v>
      </c>
      <c r="M30" s="2" t="s">
        <v>66</v>
      </c>
      <c r="N30" s="2" t="s">
        <v>42</v>
      </c>
      <c r="O30" s="2" t="s">
        <v>67</v>
      </c>
      <c r="P30" s="1" t="s">
        <v>68</v>
      </c>
      <c r="Q30" s="1" t="s">
        <v>68</v>
      </c>
      <c r="R30" s="1" t="s">
        <v>43</v>
      </c>
      <c r="S30" s="1" t="s">
        <v>69</v>
      </c>
      <c r="T30" s="1" t="s">
        <v>196</v>
      </c>
      <c r="U30" s="1" t="s">
        <v>199</v>
      </c>
      <c r="V30" s="1" t="s">
        <v>200</v>
      </c>
      <c r="W30" s="1" t="s">
        <v>197</v>
      </c>
      <c r="X30" s="1" t="s">
        <v>48</v>
      </c>
      <c r="Y30" s="1" t="s">
        <v>49</v>
      </c>
      <c r="Z30" s="1" t="s">
        <v>50</v>
      </c>
      <c r="AA30" s="16">
        <v>658.0</v>
      </c>
      <c r="AB30" s="16">
        <f t="shared" si="2"/>
        <v>0.658</v>
      </c>
      <c r="AC30" s="17" t="s">
        <v>201</v>
      </c>
      <c r="AD30" s="17" t="inlineStr">
        <is>
          <t>Further research required if this item is used in the project. Tested peak example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 This retains the original reference, including any unresolved source limitations; it is not newly validated net room heat. REQUIRED: 658 W is the published 15-minute test reference for a 9 kg-bin ice maker/dispenser, not a verified net room load. D/E remain blocked. Obtain actual condenser location, production kg/h, inlet-water temperature, ice/drain discharge temperatures, operating schedule and moisture release. Use manufacturer's room heat for that state, or a full water/ice energy balance. Never add electrical input to condenser heat; a remote condenser changes the room allocation.</t>
        </is>
      </c>
      <c r="AE30" s="97" t="str">
        <v>EQ-0025</v>
      </c>
      <c r="AF30" s="98" t="str">
        <v>ice maker/dispenser - 9 kg bin</v>
      </c>
      <c r="AG30" s="98" t="str">
        <v>REFERENCE_ONLY</v>
      </c>
      <c r="AH30" s="98" t="str">
        <v>Do not auto-use reference wattage. Resolve the missing heat data or document a project estimate.</v>
      </c>
    </row>
    <row r="31">
      <c r="A31" s="1" t="s">
        <v>127</v>
      </c>
      <c r="B31" s="1" t="s">
        <v>203</v>
      </c>
      <c r="C31" s="13" t="s">
        <v>53</v>
      </c>
      <c r="D31" s="14">
        <v>265.0</v>
      </c>
      <c r="E31" s="14">
        <v>0.0</v>
      </c>
      <c r="F31" s="7" t="s">
        <v>204</v>
      </c>
      <c r="G31" s="15">
        <v>265.0</v>
      </c>
      <c r="H31" s="10">
        <f t="shared" si="1"/>
        <v>0.265</v>
      </c>
      <c r="I31" s="1" t="s">
        <v>205</v>
      </c>
      <c r="J31" s="1" t="s">
        <v>206</v>
      </c>
      <c r="K31" s="1" t="s">
        <v>207</v>
      </c>
      <c r="L31" s="11" t="s">
        <v>58</v>
      </c>
      <c r="M31" s="2" t="s">
        <v>66</v>
      </c>
      <c r="N31" s="2" t="s">
        <v>42</v>
      </c>
      <c r="O31" s="2" t="s">
        <v>67</v>
      </c>
      <c r="P31" s="1" t="s">
        <v>68</v>
      </c>
      <c r="Q31" s="1" t="s">
        <v>68</v>
      </c>
      <c r="R31" s="1" t="s">
        <v>134</v>
      </c>
      <c r="S31" s="1" t="s">
        <v>69</v>
      </c>
      <c r="T31" s="1" t="s">
        <v>205</v>
      </c>
      <c r="U31" s="1" t="s">
        <v>70</v>
      </c>
      <c r="V31" s="1" t="s">
        <v>46</v>
      </c>
      <c r="W31" s="1" t="s">
        <v>47</v>
      </c>
      <c r="X31" s="1" t="s">
        <v>48</v>
      </c>
      <c r="Y31" s="1" t="s">
        <v>49</v>
      </c>
      <c r="Z31" s="1" t="s">
        <v>50</v>
      </c>
      <c r="AA31" s="12">
        <v>265.0</v>
      </c>
      <c r="AB31" s="12">
        <f t="shared" si="2"/>
        <v>0.265</v>
      </c>
      <c r="AC31" s="13" t="s">
        <v>51</v>
      </c>
      <c r="AD31" s="13" t="s">
        <v>204</v>
      </c>
      <c r="AE31" s="97" t="str">
        <v>EQ-0026</v>
      </c>
      <c r="AF31" s="98" t="str">
        <v>paper shredder</v>
      </c>
      <c r="AG31" s="98" t="str">
        <v>CONDITIONAL_MATCH</v>
      </c>
      <c r="AH31" s="98" t="str">
        <v>Match model or supported analogue, operating state, room allocation and all conditions in F. Use D/E only.</v>
      </c>
    </row>
    <row r="32">
      <c r="A32" s="1" t="s">
        <v>127</v>
      </c>
      <c r="B32" s="1" t="s">
        <v>208</v>
      </c>
      <c r="C32" s="13" t="s">
        <v>53</v>
      </c>
      <c r="D32" s="14">
        <v>29.0</v>
      </c>
      <c r="E32" s="14">
        <v>0.0</v>
      </c>
      <c r="F32" s="7" t="s">
        <v>209</v>
      </c>
      <c r="G32" s="15">
        <v>29.0</v>
      </c>
      <c r="H32" s="10">
        <f t="shared" si="1"/>
        <v>0.029</v>
      </c>
      <c r="I32" s="1" t="s">
        <v>205</v>
      </c>
      <c r="J32" s="1" t="s">
        <v>206</v>
      </c>
      <c r="K32" s="1" t="s">
        <v>207</v>
      </c>
      <c r="L32" s="11" t="s">
        <v>58</v>
      </c>
      <c r="M32" s="2" t="s">
        <v>66</v>
      </c>
      <c r="N32" s="2" t="s">
        <v>42</v>
      </c>
      <c r="O32" s="2" t="s">
        <v>67</v>
      </c>
      <c r="P32" s="1" t="s">
        <v>68</v>
      </c>
      <c r="Q32" s="1" t="s">
        <v>68</v>
      </c>
      <c r="R32" s="1" t="s">
        <v>134</v>
      </c>
      <c r="S32" s="1" t="s">
        <v>69</v>
      </c>
      <c r="T32" s="1" t="s">
        <v>205</v>
      </c>
      <c r="U32" s="1" t="s">
        <v>70</v>
      </c>
      <c r="V32" s="1" t="s">
        <v>46</v>
      </c>
      <c r="W32" s="1" t="s">
        <v>47</v>
      </c>
      <c r="X32" s="1" t="s">
        <v>48</v>
      </c>
      <c r="Y32" s="1" t="s">
        <v>49</v>
      </c>
      <c r="Z32" s="1" t="s">
        <v>50</v>
      </c>
      <c r="AA32" s="12">
        <v>29.0</v>
      </c>
      <c r="AB32" s="12">
        <f t="shared" si="2"/>
        <v>0.029</v>
      </c>
      <c r="AC32" s="13" t="s">
        <v>51</v>
      </c>
      <c r="AD32" s="13" t="s">
        <v>209</v>
      </c>
      <c r="AE32" s="97" t="str">
        <v>EQ-0027</v>
      </c>
      <c r="AF32" s="98" t="str">
        <v>thermal binder</v>
      </c>
      <c r="AG32" s="98" t="str">
        <v>CONDITIONAL_MATCH</v>
      </c>
      <c r="AH32" s="98" t="str">
        <v>Match model or supported analogue, operating state, room allocation and all conditions in F. Use D/E only.</v>
      </c>
    </row>
    <row r="33">
      <c r="A33" s="1" t="s">
        <v>127</v>
      </c>
      <c r="B33" s="1" t="s">
        <v>210</v>
      </c>
      <c r="C33" s="13" t="s">
        <v>53</v>
      </c>
      <c r="D33" s="14">
        <v>15.0</v>
      </c>
      <c r="E33" s="14">
        <v>0.0</v>
      </c>
      <c r="F33" s="7" t="s">
        <v>211</v>
      </c>
      <c r="G33" s="15">
        <v>15.0</v>
      </c>
      <c r="H33" s="10">
        <f t="shared" si="1"/>
        <v>0.015</v>
      </c>
      <c r="I33" s="1" t="s">
        <v>205</v>
      </c>
      <c r="J33" s="1" t="s">
        <v>206</v>
      </c>
      <c r="K33" s="1" t="s">
        <v>207</v>
      </c>
      <c r="L33" s="11" t="s">
        <v>58</v>
      </c>
      <c r="M33" s="2" t="s">
        <v>66</v>
      </c>
      <c r="N33" s="2" t="s">
        <v>42</v>
      </c>
      <c r="O33" s="2" t="s">
        <v>67</v>
      </c>
      <c r="P33" s="1" t="s">
        <v>68</v>
      </c>
      <c r="Q33" s="1" t="s">
        <v>68</v>
      </c>
      <c r="R33" s="1" t="s">
        <v>134</v>
      </c>
      <c r="S33" s="1" t="s">
        <v>69</v>
      </c>
      <c r="T33" s="1" t="s">
        <v>205</v>
      </c>
      <c r="U33" s="1" t="s">
        <v>70</v>
      </c>
      <c r="V33" s="1" t="s">
        <v>46</v>
      </c>
      <c r="W33" s="1" t="s">
        <v>47</v>
      </c>
      <c r="X33" s="1" t="s">
        <v>48</v>
      </c>
      <c r="Y33" s="1" t="s">
        <v>49</v>
      </c>
      <c r="Z33" s="1" t="s">
        <v>50</v>
      </c>
      <c r="AA33" s="12">
        <v>15.0</v>
      </c>
      <c r="AB33" s="12">
        <f t="shared" si="2"/>
        <v>0.015</v>
      </c>
      <c r="AC33" s="13" t="s">
        <v>51</v>
      </c>
      <c r="AD33" s="13" t="s">
        <v>211</v>
      </c>
      <c r="AE33" s="97" t="str">
        <v>EQ-0028</v>
      </c>
      <c r="AF33" s="98" t="str">
        <v>desktop speakers</v>
      </c>
      <c r="AG33" s="98" t="str">
        <v>CONDITIONAL_MATCH</v>
      </c>
      <c r="AH33" s="98" t="str">
        <v>Match model or supported analogue, operating state, room allocation and all conditions in F. Use D/E only.</v>
      </c>
    </row>
    <row r="34">
      <c r="A34" s="1" t="s">
        <v>212</v>
      </c>
      <c r="B34" s="1" t="s">
        <v>213</v>
      </c>
      <c r="C34" s="13" t="s">
        <v>53</v>
      </c>
      <c r="D34" s="14">
        <v>58.0</v>
      </c>
      <c r="E34" s="14">
        <v>0.0</v>
      </c>
      <c r="F34" s="7" t="s">
        <v>214</v>
      </c>
      <c r="G34" s="15">
        <v>58.0</v>
      </c>
      <c r="H34" s="10">
        <f t="shared" si="1"/>
        <v>0.058</v>
      </c>
      <c r="I34" s="1" t="s">
        <v>205</v>
      </c>
      <c r="J34" s="1" t="s">
        <v>206</v>
      </c>
      <c r="K34" s="1" t="s">
        <v>207</v>
      </c>
      <c r="L34" s="11" t="s">
        <v>58</v>
      </c>
      <c r="M34" s="2" t="s">
        <v>66</v>
      </c>
      <c r="N34" s="2" t="s">
        <v>42</v>
      </c>
      <c r="O34" s="2" t="s">
        <v>67</v>
      </c>
      <c r="P34" s="1" t="s">
        <v>68</v>
      </c>
      <c r="Q34" s="1" t="s">
        <v>68</v>
      </c>
      <c r="R34" s="1" t="s">
        <v>215</v>
      </c>
      <c r="S34" s="1" t="s">
        <v>69</v>
      </c>
      <c r="T34" s="1" t="s">
        <v>205</v>
      </c>
      <c r="U34" s="1" t="s">
        <v>70</v>
      </c>
      <c r="V34" s="1" t="s">
        <v>46</v>
      </c>
      <c r="W34" s="1" t="s">
        <v>47</v>
      </c>
      <c r="X34" s="1" t="s">
        <v>48</v>
      </c>
      <c r="Y34" s="1" t="s">
        <v>49</v>
      </c>
      <c r="Z34" s="1" t="s">
        <v>50</v>
      </c>
      <c r="AA34" s="12">
        <v>58.0</v>
      </c>
      <c r="AB34" s="12">
        <f t="shared" si="2"/>
        <v>0.058</v>
      </c>
      <c r="AC34" s="13" t="s">
        <v>51</v>
      </c>
      <c r="AD34" s="13" t="s">
        <v>214</v>
      </c>
      <c r="AE34" s="97" t="str">
        <v>EQ-0029</v>
      </c>
      <c r="AF34" s="98" t="str">
        <v>touchscreen pos terminal</v>
      </c>
      <c r="AG34" s="98" t="str">
        <v>CONDITIONAL_MATCH</v>
      </c>
      <c r="AH34" s="98" t="str">
        <v>Match model or supported analogue, operating state, room allocation and all conditions in F. Use D/E only.</v>
      </c>
    </row>
    <row r="35">
      <c r="A35" s="1" t="s">
        <v>212</v>
      </c>
      <c r="B35" s="1" t="s">
        <v>216</v>
      </c>
      <c r="C35" s="13" t="s">
        <v>53</v>
      </c>
      <c r="D35" s="14">
        <v>15.0</v>
      </c>
      <c r="E35" s="14">
        <v>0.0</v>
      </c>
      <c r="F35" s="7" t="s">
        <v>217</v>
      </c>
      <c r="G35" s="15">
        <v>15.0</v>
      </c>
      <c r="H35" s="10">
        <f t="shared" si="1"/>
        <v>0.015</v>
      </c>
      <c r="I35" s="1" t="s">
        <v>205</v>
      </c>
      <c r="J35" s="1" t="s">
        <v>206</v>
      </c>
      <c r="K35" s="1" t="s">
        <v>207</v>
      </c>
      <c r="L35" s="11" t="s">
        <v>58</v>
      </c>
      <c r="M35" s="2" t="s">
        <v>66</v>
      </c>
      <c r="N35" s="2" t="s">
        <v>42</v>
      </c>
      <c r="O35" s="2" t="s">
        <v>67</v>
      </c>
      <c r="P35" s="1" t="s">
        <v>68</v>
      </c>
      <c r="Q35" s="1" t="s">
        <v>68</v>
      </c>
      <c r="R35" s="1" t="s">
        <v>215</v>
      </c>
      <c r="S35" s="1" t="s">
        <v>69</v>
      </c>
      <c r="T35" s="1" t="s">
        <v>205</v>
      </c>
      <c r="U35" s="1" t="s">
        <v>70</v>
      </c>
      <c r="V35" s="1" t="s">
        <v>46</v>
      </c>
      <c r="W35" s="1" t="s">
        <v>47</v>
      </c>
      <c r="X35" s="1" t="s">
        <v>48</v>
      </c>
      <c r="Y35" s="1" t="s">
        <v>49</v>
      </c>
      <c r="Z35" s="1" t="s">
        <v>50</v>
      </c>
      <c r="AA35" s="12">
        <v>15.0</v>
      </c>
      <c r="AB35" s="12">
        <f t="shared" si="2"/>
        <v>0.015</v>
      </c>
      <c r="AC35" s="13" t="s">
        <v>51</v>
      </c>
      <c r="AD35" s="13" t="s">
        <v>217</v>
      </c>
      <c r="AE35" s="97" t="str">
        <v>EQ-0030</v>
      </c>
      <c r="AF35" s="98" t="str">
        <v>self-checkout terminal</v>
      </c>
      <c r="AG35" s="98" t="str">
        <v>CONDITIONAL_MATCH</v>
      </c>
      <c r="AH35" s="98" t="str">
        <v>Match model or supported analogue, operating state, room allocation and all conditions in F. Use D/E only.</v>
      </c>
    </row>
    <row r="36">
      <c r="A36" s="1" t="s">
        <v>212</v>
      </c>
      <c r="B36" s="1" t="s">
        <v>218</v>
      </c>
      <c r="C36" s="7" t="s">
        <v>178</v>
      </c>
      <c r="D36" s="8">
        <v>54.0</v>
      </c>
      <c r="E36" s="8">
        <v>0.0</v>
      </c>
      <c r="F36" s="7" t="s">
        <v>219</v>
      </c>
      <c r="G36" s="15">
        <v>54.0</v>
      </c>
      <c r="H36" s="10">
        <f t="shared" si="1"/>
        <v>0.054</v>
      </c>
      <c r="I36" s="1" t="s">
        <v>180</v>
      </c>
      <c r="J36" s="1" t="s">
        <v>219</v>
      </c>
      <c r="K36" s="1" t="s">
        <v>181</v>
      </c>
      <c r="L36" s="11" t="s">
        <v>58</v>
      </c>
      <c r="M36" s="1" t="s">
        <v>182</v>
      </c>
      <c r="N36" s="2" t="s">
        <v>42</v>
      </c>
      <c r="O36" s="2" t="s">
        <v>67</v>
      </c>
      <c r="P36" s="1">
        <v>54.0</v>
      </c>
      <c r="Q36" s="1">
        <v>0.0</v>
      </c>
      <c r="R36" s="1" t="s">
        <v>215</v>
      </c>
      <c r="S36" s="1" t="s">
        <v>220</v>
      </c>
      <c r="T36" s="1" t="s">
        <v>184</v>
      </c>
      <c r="U36" s="1" t="s">
        <v>185</v>
      </c>
      <c r="V36" s="1" t="s">
        <v>46</v>
      </c>
      <c r="W36" s="1" t="s">
        <v>47</v>
      </c>
      <c r="X36" s="1" t="s">
        <v>48</v>
      </c>
      <c r="Y36" s="1" t="s">
        <v>49</v>
      </c>
      <c r="Z36" s="1" t="s">
        <v>50</v>
      </c>
      <c r="AA36" s="12">
        <v>54.0</v>
      </c>
      <c r="AB36" s="12">
        <f t="shared" si="2"/>
        <v>0.054</v>
      </c>
      <c r="AC36" s="13" t="s">
        <v>51</v>
      </c>
      <c r="AD36" s="13" t="s">
        <v>219</v>
      </c>
      <c r="AE36" s="97" t="str">
        <v>EQ-0031</v>
      </c>
      <c r="AF36" s="98" t="str">
        <v>snack vending machine</v>
      </c>
      <c r="AG36" s="98" t="str">
        <v>CONDITIONAL_MATCH</v>
      </c>
      <c r="AH36" s="98" t="str">
        <v>Match model or supported analogue, operating state, room allocation and all conditions in F. Use D/E only.</v>
      </c>
    </row>
    <row r="37">
      <c r="A37" s="1" t="s">
        <v>212</v>
      </c>
      <c r="B37" s="1" t="s">
        <v>221</v>
      </c>
      <c r="C37" s="7" t="s">
        <v>178</v>
      </c>
      <c r="D37" s="8">
        <v>940.0</v>
      </c>
      <c r="E37" s="8">
        <v>0.0</v>
      </c>
      <c r="F37" s="7" t="s">
        <v>222</v>
      </c>
      <c r="G37" s="15">
        <v>940.0</v>
      </c>
      <c r="H37" s="10">
        <f t="shared" si="1"/>
        <v>0.94</v>
      </c>
      <c r="I37" s="1" t="s">
        <v>180</v>
      </c>
      <c r="J37" s="1" t="s">
        <v>222</v>
      </c>
      <c r="K37" s="1" t="s">
        <v>181</v>
      </c>
      <c r="L37" s="11" t="s">
        <v>58</v>
      </c>
      <c r="M37" s="1" t="s">
        <v>182</v>
      </c>
      <c r="N37" s="2" t="s">
        <v>42</v>
      </c>
      <c r="O37" s="2" t="s">
        <v>67</v>
      </c>
      <c r="P37" s="1">
        <v>940.0</v>
      </c>
      <c r="Q37" s="1">
        <v>0.0</v>
      </c>
      <c r="R37" s="1" t="s">
        <v>215</v>
      </c>
      <c r="S37" s="1" t="s">
        <v>223</v>
      </c>
      <c r="T37" s="1" t="s">
        <v>184</v>
      </c>
      <c r="U37" s="1" t="s">
        <v>185</v>
      </c>
      <c r="V37" s="1" t="s">
        <v>46</v>
      </c>
      <c r="W37" s="1" t="s">
        <v>47</v>
      </c>
      <c r="X37" s="1" t="s">
        <v>176</v>
      </c>
      <c r="Y37" s="1" t="s">
        <v>189</v>
      </c>
      <c r="Z37" s="1" t="s">
        <v>50</v>
      </c>
      <c r="AA37" s="12">
        <v>940.0</v>
      </c>
      <c r="AB37" s="12">
        <f t="shared" si="2"/>
        <v>0.94</v>
      </c>
      <c r="AC37" s="13" t="s">
        <v>51</v>
      </c>
      <c r="AD37" s="13" t="s">
        <v>222</v>
      </c>
      <c r="AE37" s="97" t="str">
        <v>EQ-0032</v>
      </c>
      <c r="AF37" s="98" t="str">
        <v>refrigerated drinks vending machine</v>
      </c>
      <c r="AG37" s="98" t="str">
        <v>CONDITIONAL_MATCH</v>
      </c>
      <c r="AH37" s="98" t="str">
        <v>Match model or supported analogue, operating state, room allocation and all conditions in F. Use D/E only.</v>
      </c>
    </row>
    <row r="38">
      <c r="A38" s="1" t="s">
        <v>212</v>
      </c>
      <c r="B38" s="1" t="s">
        <v>224</v>
      </c>
      <c r="C38" s="7" t="s">
        <v>178</v>
      </c>
      <c r="D38" s="8">
        <v>465.0</v>
      </c>
      <c r="E38" s="8">
        <v>0.0</v>
      </c>
      <c r="F38" s="7" t="s">
        <v>225</v>
      </c>
      <c r="G38" s="15">
        <v>465.0</v>
      </c>
      <c r="H38" s="10">
        <f t="shared" si="1"/>
        <v>0.465</v>
      </c>
      <c r="I38" s="1" t="s">
        <v>180</v>
      </c>
      <c r="J38" s="1" t="s">
        <v>225</v>
      </c>
      <c r="K38" s="1" t="s">
        <v>181</v>
      </c>
      <c r="L38" s="11" t="s">
        <v>58</v>
      </c>
      <c r="M38" s="1" t="s">
        <v>182</v>
      </c>
      <c r="N38" s="2" t="s">
        <v>42</v>
      </c>
      <c r="O38" s="2" t="s">
        <v>67</v>
      </c>
      <c r="P38" s="1">
        <v>465.0</v>
      </c>
      <c r="Q38" s="1">
        <v>0.0</v>
      </c>
      <c r="R38" s="1" t="s">
        <v>215</v>
      </c>
      <c r="S38" s="1" t="s">
        <v>226</v>
      </c>
      <c r="T38" s="1" t="s">
        <v>184</v>
      </c>
      <c r="U38" s="1" t="s">
        <v>185</v>
      </c>
      <c r="V38" s="1" t="s">
        <v>46</v>
      </c>
      <c r="W38" s="1" t="s">
        <v>47</v>
      </c>
      <c r="X38" s="1" t="s">
        <v>176</v>
      </c>
      <c r="Y38" s="1" t="s">
        <v>189</v>
      </c>
      <c r="Z38" s="1" t="s">
        <v>50</v>
      </c>
      <c r="AA38" s="12">
        <v>465.0</v>
      </c>
      <c r="AB38" s="12">
        <f t="shared" si="2"/>
        <v>0.465</v>
      </c>
      <c r="AC38" s="13" t="s">
        <v>51</v>
      </c>
      <c r="AD38" s="13" t="s">
        <v>225</v>
      </c>
      <c r="AE38" s="97" t="str">
        <v>EQ-0033</v>
      </c>
      <c r="AF38" s="98" t="str">
        <v>refrigerated food vending machine</v>
      </c>
      <c r="AG38" s="98" t="str">
        <v>CONDITIONAL_MATCH</v>
      </c>
      <c r="AH38" s="98" t="str">
        <v>Match model or supported analogue, operating state, room allocation and all conditions in F. Use D/E only.</v>
      </c>
    </row>
    <row r="39">
      <c r="A39" s="1" t="s">
        <v>227</v>
      </c>
      <c r="B39" s="1" t="s">
        <v>228</v>
      </c>
      <c r="C39" s="13" t="s">
        <v>53</v>
      </c>
      <c r="D39" s="14">
        <v>16.0</v>
      </c>
      <c r="E39" s="14">
        <v>0.0</v>
      </c>
      <c r="F39" s="7" t="s">
        <v>229</v>
      </c>
      <c r="G39" s="15">
        <v>16.0</v>
      </c>
      <c r="H39" s="10">
        <f t="shared" si="1"/>
        <v>0.016</v>
      </c>
      <c r="I39" s="1" t="s">
        <v>205</v>
      </c>
      <c r="J39" s="1" t="s">
        <v>206</v>
      </c>
      <c r="K39" s="1" t="s">
        <v>207</v>
      </c>
      <c r="L39" s="11" t="s">
        <v>58</v>
      </c>
      <c r="M39" s="2" t="s">
        <v>66</v>
      </c>
      <c r="N39" s="2" t="s">
        <v>42</v>
      </c>
      <c r="O39" s="2" t="s">
        <v>67</v>
      </c>
      <c r="P39" s="1" t="s">
        <v>68</v>
      </c>
      <c r="Q39" s="1" t="s">
        <v>68</v>
      </c>
      <c r="R39" s="1" t="s">
        <v>43</v>
      </c>
      <c r="S39" s="1" t="s">
        <v>69</v>
      </c>
      <c r="T39" s="1" t="s">
        <v>205</v>
      </c>
      <c r="U39" s="1" t="s">
        <v>70</v>
      </c>
      <c r="V39" s="1" t="s">
        <v>46</v>
      </c>
      <c r="W39" s="1" t="s">
        <v>47</v>
      </c>
      <c r="X39" s="1" t="s">
        <v>48</v>
      </c>
      <c r="Y39" s="1" t="s">
        <v>49</v>
      </c>
      <c r="Z39" s="1" t="s">
        <v>50</v>
      </c>
      <c r="AA39" s="12">
        <v>16.0</v>
      </c>
      <c r="AB39" s="12">
        <f t="shared" si="2"/>
        <v>0.016</v>
      </c>
      <c r="AC39" s="13" t="s">
        <v>51</v>
      </c>
      <c r="AD39" s="13" t="s">
        <v>229</v>
      </c>
      <c r="AE39" s="97" t="str">
        <v>EQ-0034</v>
      </c>
      <c r="AF39" s="98" t="str">
        <v>small soldering station</v>
      </c>
      <c r="AG39" s="98" t="str">
        <v>CONDITIONAL_MATCH</v>
      </c>
      <c r="AH39" s="98" t="str">
        <v>Match model or supported analogue, operating state, room allocation and all conditions in F. Use D/E only.</v>
      </c>
    </row>
    <row r="40">
      <c r="A40" s="1" t="s">
        <v>230</v>
      </c>
      <c r="B40" s="1" t="s">
        <v>231</v>
      </c>
      <c r="C40" s="13" t="s">
        <v>53</v>
      </c>
      <c r="D40" s="14">
        <v>7.0</v>
      </c>
      <c r="E40" s="14">
        <v>0.0</v>
      </c>
      <c r="F40" s="7" t="s">
        <v>232</v>
      </c>
      <c r="G40" s="15">
        <v>7.0</v>
      </c>
      <c r="H40" s="10">
        <f t="shared" si="1"/>
        <v>0.007</v>
      </c>
      <c r="I40" s="1" t="s">
        <v>233</v>
      </c>
      <c r="J40" s="1" t="s">
        <v>206</v>
      </c>
      <c r="K40" s="1" t="s">
        <v>234</v>
      </c>
      <c r="L40" s="11" t="s">
        <v>58</v>
      </c>
      <c r="M40" s="2" t="s">
        <v>66</v>
      </c>
      <c r="N40" s="2" t="s">
        <v>42</v>
      </c>
      <c r="O40" s="2" t="s">
        <v>67</v>
      </c>
      <c r="P40" s="1" t="s">
        <v>68</v>
      </c>
      <c r="Q40" s="1" t="s">
        <v>68</v>
      </c>
      <c r="R40" s="1" t="s">
        <v>235</v>
      </c>
      <c r="S40" s="1" t="s">
        <v>69</v>
      </c>
      <c r="T40" s="1" t="s">
        <v>233</v>
      </c>
      <c r="U40" s="1" t="s">
        <v>70</v>
      </c>
      <c r="V40" s="1" t="s">
        <v>46</v>
      </c>
      <c r="W40" s="1" t="s">
        <v>47</v>
      </c>
      <c r="X40" s="1" t="s">
        <v>48</v>
      </c>
      <c r="Y40" s="1" t="s">
        <v>49</v>
      </c>
      <c r="Z40" s="1" t="s">
        <v>50</v>
      </c>
      <c r="AA40" s="12">
        <v>7.0</v>
      </c>
      <c r="AB40" s="12">
        <f t="shared" si="2"/>
        <v>0.007</v>
      </c>
      <c r="AC40" s="13" t="s">
        <v>51</v>
      </c>
      <c r="AD40" s="13" t="s">
        <v>232</v>
      </c>
      <c r="AE40" s="97" t="str">
        <v>EQ-0035</v>
      </c>
      <c r="AF40" s="98" t="str">
        <v>analytical balance</v>
      </c>
      <c r="AG40" s="98" t="str">
        <v>CONDITIONAL_MATCH</v>
      </c>
      <c r="AH40" s="98" t="str">
        <v>Match model or supported analogue, operating state, room allocation and all conditions in F. Use D/E only.</v>
      </c>
    </row>
    <row r="41">
      <c r="A41" s="1" t="s">
        <v>230</v>
      </c>
      <c r="B41" s="1" t="s">
        <v>236</v>
      </c>
      <c r="C41" s="13" t="s">
        <v>53</v>
      </c>
      <c r="D41" s="14">
        <v>87.0</v>
      </c>
      <c r="E41" s="14">
        <v>0.0</v>
      </c>
      <c r="F41" s="7" t="s">
        <v>237</v>
      </c>
      <c r="G41" s="15">
        <v>87.0</v>
      </c>
      <c r="H41" s="10">
        <f t="shared" si="1"/>
        <v>0.087</v>
      </c>
      <c r="I41" s="1" t="s">
        <v>233</v>
      </c>
      <c r="J41" s="1" t="s">
        <v>206</v>
      </c>
      <c r="K41" s="1" t="s">
        <v>234</v>
      </c>
      <c r="L41" s="11" t="s">
        <v>58</v>
      </c>
      <c r="M41" s="2" t="s">
        <v>66</v>
      </c>
      <c r="N41" s="2" t="s">
        <v>42</v>
      </c>
      <c r="O41" s="2" t="s">
        <v>67</v>
      </c>
      <c r="P41" s="1" t="s">
        <v>68</v>
      </c>
      <c r="Q41" s="1" t="s">
        <v>68</v>
      </c>
      <c r="R41" s="1" t="s">
        <v>235</v>
      </c>
      <c r="S41" s="1" t="s">
        <v>69</v>
      </c>
      <c r="T41" s="1" t="s">
        <v>233</v>
      </c>
      <c r="U41" s="1" t="s">
        <v>70</v>
      </c>
      <c r="V41" s="1" t="s">
        <v>46</v>
      </c>
      <c r="W41" s="1" t="s">
        <v>47</v>
      </c>
      <c r="X41" s="1" t="s">
        <v>48</v>
      </c>
      <c r="Y41" s="1" t="s">
        <v>49</v>
      </c>
      <c r="Z41" s="1" t="s">
        <v>50</v>
      </c>
      <c r="AA41" s="12">
        <v>87.0</v>
      </c>
      <c r="AB41" s="12">
        <f t="shared" si="2"/>
        <v>0.087</v>
      </c>
      <c r="AC41" s="13" t="s">
        <v>51</v>
      </c>
      <c r="AD41" s="13" t="s">
        <v>237</v>
      </c>
      <c r="AE41" s="97" t="str">
        <v>EQ-0036</v>
      </c>
      <c r="AF41" s="98" t="str">
        <v>small centrifuge</v>
      </c>
      <c r="AG41" s="98" t="str">
        <v>CONDITIONAL_MATCH</v>
      </c>
      <c r="AH41" s="98" t="str">
        <v>Match model or supported analogue, operating state, room allocation and all conditions in F. Use D/E only.</v>
      </c>
    </row>
    <row r="42">
      <c r="A42" s="1" t="s">
        <v>230</v>
      </c>
      <c r="B42" s="1" t="s">
        <v>238</v>
      </c>
      <c r="C42" s="13" t="s">
        <v>53</v>
      </c>
      <c r="D42" s="14">
        <v>730.0</v>
      </c>
      <c r="E42" s="14">
        <v>0.0</v>
      </c>
      <c r="F42" s="7" t="s">
        <v>239</v>
      </c>
      <c r="G42" s="15">
        <v>730.0</v>
      </c>
      <c r="H42" s="10">
        <f t="shared" si="1"/>
        <v>0.73</v>
      </c>
      <c r="I42" s="1" t="s">
        <v>233</v>
      </c>
      <c r="J42" s="1" t="s">
        <v>206</v>
      </c>
      <c r="K42" s="1" t="s">
        <v>234</v>
      </c>
      <c r="L42" s="11" t="s">
        <v>58</v>
      </c>
      <c r="M42" s="2" t="s">
        <v>66</v>
      </c>
      <c r="N42" s="2" t="s">
        <v>42</v>
      </c>
      <c r="O42" s="2" t="s">
        <v>67</v>
      </c>
      <c r="P42" s="1" t="s">
        <v>68</v>
      </c>
      <c r="Q42" s="1" t="s">
        <v>68</v>
      </c>
      <c r="R42" s="1" t="s">
        <v>235</v>
      </c>
      <c r="S42" s="1" t="s">
        <v>69</v>
      </c>
      <c r="T42" s="1" t="s">
        <v>233</v>
      </c>
      <c r="U42" s="1" t="s">
        <v>70</v>
      </c>
      <c r="V42" s="1" t="s">
        <v>46</v>
      </c>
      <c r="W42" s="1" t="s">
        <v>47</v>
      </c>
      <c r="X42" s="1" t="s">
        <v>48</v>
      </c>
      <c r="Y42" s="1" t="s">
        <v>49</v>
      </c>
      <c r="Z42" s="1" t="s">
        <v>50</v>
      </c>
      <c r="AA42" s="12">
        <v>730.0</v>
      </c>
      <c r="AB42" s="12">
        <f t="shared" si="2"/>
        <v>0.73</v>
      </c>
      <c r="AC42" s="13" t="s">
        <v>51</v>
      </c>
      <c r="AD42" s="13" t="s">
        <v>239</v>
      </c>
      <c r="AE42" s="97" t="str">
        <v>EQ-0037</v>
      </c>
      <c r="AF42" s="98" t="str">
        <v>large centrifuge</v>
      </c>
      <c r="AG42" s="98" t="str">
        <v>CONDITIONAL_MATCH</v>
      </c>
      <c r="AH42" s="98" t="str">
        <v>Match model or supported analogue, operating state, room allocation and all conditions in F. Use D/E only.</v>
      </c>
    </row>
    <row r="43">
      <c r="A43" s="1" t="s">
        <v>230</v>
      </c>
      <c r="B43" s="1" t="s">
        <v>240</v>
      </c>
      <c r="C43" s="13" t="s">
        <v>53</v>
      </c>
      <c r="D43" s="14">
        <v>44.0</v>
      </c>
      <c r="E43" s="14">
        <v>0.0</v>
      </c>
      <c r="F43" s="7" t="s">
        <v>241</v>
      </c>
      <c r="G43" s="15">
        <v>44.0</v>
      </c>
      <c r="H43" s="10">
        <f t="shared" si="1"/>
        <v>0.044</v>
      </c>
      <c r="I43" s="1" t="s">
        <v>233</v>
      </c>
      <c r="J43" s="1" t="s">
        <v>206</v>
      </c>
      <c r="K43" s="1" t="s">
        <v>234</v>
      </c>
      <c r="L43" s="11" t="s">
        <v>58</v>
      </c>
      <c r="M43" s="2" t="s">
        <v>66</v>
      </c>
      <c r="N43" s="2" t="s">
        <v>42</v>
      </c>
      <c r="O43" s="2" t="s">
        <v>67</v>
      </c>
      <c r="P43" s="1" t="s">
        <v>68</v>
      </c>
      <c r="Q43" s="1" t="s">
        <v>68</v>
      </c>
      <c r="R43" s="1" t="s">
        <v>235</v>
      </c>
      <c r="S43" s="1" t="s">
        <v>69</v>
      </c>
      <c r="T43" s="1" t="s">
        <v>233</v>
      </c>
      <c r="U43" s="1" t="s">
        <v>70</v>
      </c>
      <c r="V43" s="1" t="s">
        <v>46</v>
      </c>
      <c r="W43" s="1" t="s">
        <v>47</v>
      </c>
      <c r="X43" s="1" t="s">
        <v>48</v>
      </c>
      <c r="Y43" s="1" t="s">
        <v>49</v>
      </c>
      <c r="Z43" s="1" t="s">
        <v>50</v>
      </c>
      <c r="AA43" s="12">
        <v>44.0</v>
      </c>
      <c r="AB43" s="12">
        <f t="shared" si="2"/>
        <v>0.044</v>
      </c>
      <c r="AC43" s="13" t="s">
        <v>51</v>
      </c>
      <c r="AD43" s="13" t="s">
        <v>241</v>
      </c>
      <c r="AE43" s="97" t="str">
        <v>EQ-0038</v>
      </c>
      <c r="AF43" s="98" t="str">
        <v>electrochemical analyser</v>
      </c>
      <c r="AG43" s="98" t="str">
        <v>CONDITIONAL_MATCH</v>
      </c>
      <c r="AH43" s="98" t="str">
        <v>Match model or supported analogue, operating state, room allocation and all conditions in F. Use D/E only.</v>
      </c>
    </row>
    <row r="44">
      <c r="A44" s="1" t="s">
        <v>230</v>
      </c>
      <c r="B44" s="1" t="s">
        <v>242</v>
      </c>
      <c r="C44" s="13" t="s">
        <v>243</v>
      </c>
      <c r="D44" s="14" t="s">
        <v>67</v>
      </c>
      <c r="E44" s="14" t="s">
        <v>67</v>
      </c>
      <c r="F44" s="7" t="inlineStr">
        <is>
          <t>Further research required if this item is used in the project. NUMERIC EXAMPLE: 105 W (0.105 kW); EXISTING REFERENCE — scope/state limits apply.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t>
        </is>
      </c>
      <c r="G44" s="15">
        <v>105.0</v>
      </c>
      <c r="H44" s="10">
        <f t="shared" si="1"/>
        <v>0.105</v>
      </c>
      <c r="I44" s="1" t="s">
        <v>233</v>
      </c>
      <c r="J44" s="1" t="s">
        <v>245</v>
      </c>
      <c r="K44" s="1" t="s">
        <v>234</v>
      </c>
      <c r="L44" s="11" t="s">
        <v>58</v>
      </c>
      <c r="M44" s="2" t="s">
        <v>66</v>
      </c>
      <c r="N44" s="2" t="s">
        <v>42</v>
      </c>
      <c r="O44" s="2" t="s">
        <v>67</v>
      </c>
      <c r="P44" s="1" t="s">
        <v>68</v>
      </c>
      <c r="Q44" s="1" t="s">
        <v>68</v>
      </c>
      <c r="R44" s="1" t="s">
        <v>235</v>
      </c>
      <c r="S44" s="1" t="s">
        <v>69</v>
      </c>
      <c r="T44" s="1" t="s">
        <v>233</v>
      </c>
      <c r="U44" s="1" t="s">
        <v>199</v>
      </c>
      <c r="V44" s="1" t="s">
        <v>200</v>
      </c>
      <c r="W44" s="1" t="s">
        <v>245</v>
      </c>
      <c r="X44" s="1" t="s">
        <v>48</v>
      </c>
      <c r="Y44" s="1" t="s">
        <v>49</v>
      </c>
      <c r="Z44" s="1" t="s">
        <v>50</v>
      </c>
      <c r="AA44" s="16">
        <v>105.0</v>
      </c>
      <c r="AB44" s="16">
        <f t="shared" si="2"/>
        <v>0.105</v>
      </c>
      <c r="AC44" s="17" t="s">
        <v>201</v>
      </c>
      <c r="AD44" s="17" t="inlineStr">
        <is>
          <t>Further research required if this item is used in the project. Historic sample: average operation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 This retains the original reference, including any unresolved source limitations; it is not newly validated net room heat. REQUIRED: 105 W is a historical electrical heat reference only; it excludes a verified fuel/exhaust balance. D/E remain blocked. Record burner fuel and flow, heating value, compressor power/location, exhaust capture and room moisture release. Establish room sensible/latent emissions for the complete installation; add hood makeup-air load separately. Do not use 105 W as the whole photometer station.</t>
        </is>
      </c>
      <c r="AE44" s="97" t="str">
        <v>EQ-0039</v>
      </c>
      <c r="AF44" s="98" t="str">
        <v>flame photometer</v>
      </c>
      <c r="AG44" s="98" t="str">
        <v>REFERENCE_ONLY</v>
      </c>
      <c r="AH44" s="98" t="str">
        <v>Do not auto-use reference wattage. Resolve the missing heat data or document a project estimate.</v>
      </c>
    </row>
    <row r="45">
      <c r="A45" s="1" t="s">
        <v>230</v>
      </c>
      <c r="B45" s="1" t="s">
        <v>247</v>
      </c>
      <c r="C45" s="13" t="s">
        <v>53</v>
      </c>
      <c r="D45" s="14">
        <v>143.0</v>
      </c>
      <c r="E45" s="14">
        <v>0.0</v>
      </c>
      <c r="F45" s="7" t="s">
        <v>248</v>
      </c>
      <c r="G45" s="15">
        <v>143.0</v>
      </c>
      <c r="H45" s="10">
        <f t="shared" si="1"/>
        <v>0.143</v>
      </c>
      <c r="I45" s="1" t="s">
        <v>233</v>
      </c>
      <c r="J45" s="1" t="s">
        <v>206</v>
      </c>
      <c r="K45" s="1" t="s">
        <v>234</v>
      </c>
      <c r="L45" s="11" t="s">
        <v>58</v>
      </c>
      <c r="M45" s="2" t="s">
        <v>66</v>
      </c>
      <c r="N45" s="2" t="s">
        <v>42</v>
      </c>
      <c r="O45" s="2" t="s">
        <v>67</v>
      </c>
      <c r="P45" s="1" t="s">
        <v>68</v>
      </c>
      <c r="Q45" s="1" t="s">
        <v>68</v>
      </c>
      <c r="R45" s="1" t="s">
        <v>235</v>
      </c>
      <c r="S45" s="1" t="s">
        <v>69</v>
      </c>
      <c r="T45" s="1" t="s">
        <v>233</v>
      </c>
      <c r="U45" s="1" t="s">
        <v>70</v>
      </c>
      <c r="V45" s="1" t="s">
        <v>46</v>
      </c>
      <c r="W45" s="1" t="s">
        <v>47</v>
      </c>
      <c r="X45" s="1" t="s">
        <v>48</v>
      </c>
      <c r="Y45" s="1" t="s">
        <v>49</v>
      </c>
      <c r="Z45" s="1" t="s">
        <v>50</v>
      </c>
      <c r="AA45" s="12">
        <v>143.0</v>
      </c>
      <c r="AB45" s="12">
        <f t="shared" si="2"/>
        <v>0.143</v>
      </c>
      <c r="AC45" s="13" t="s">
        <v>51</v>
      </c>
      <c r="AD45" s="13" t="s">
        <v>248</v>
      </c>
      <c r="AE45" s="97" t="str">
        <v>EQ-0040</v>
      </c>
      <c r="AF45" s="98" t="str">
        <v>fluorescence microscope</v>
      </c>
      <c r="AG45" s="98" t="str">
        <v>CONDITIONAL_MATCH</v>
      </c>
      <c r="AH45" s="98" t="str">
        <v>Match model or supported analogue, operating state, room allocation and all conditions in F. Use D/E only.</v>
      </c>
    </row>
    <row r="46">
      <c r="A46" s="1" t="s">
        <v>230</v>
      </c>
      <c r="B46" s="1" t="s">
        <v>249</v>
      </c>
      <c r="C46" s="13" t="s">
        <v>53</v>
      </c>
      <c r="D46" s="14">
        <v>29.0</v>
      </c>
      <c r="E46" s="14">
        <v>0.0</v>
      </c>
      <c r="F46" s="7" t="s">
        <v>250</v>
      </c>
      <c r="G46" s="15">
        <v>29.0</v>
      </c>
      <c r="H46" s="10">
        <f t="shared" si="1"/>
        <v>0.029</v>
      </c>
      <c r="I46" s="1" t="s">
        <v>233</v>
      </c>
      <c r="J46" s="1" t="s">
        <v>206</v>
      </c>
      <c r="K46" s="1" t="s">
        <v>234</v>
      </c>
      <c r="L46" s="11" t="s">
        <v>58</v>
      </c>
      <c r="M46" s="2" t="s">
        <v>66</v>
      </c>
      <c r="N46" s="2" t="s">
        <v>42</v>
      </c>
      <c r="O46" s="2" t="s">
        <v>67</v>
      </c>
      <c r="P46" s="1" t="s">
        <v>68</v>
      </c>
      <c r="Q46" s="1" t="s">
        <v>68</v>
      </c>
      <c r="R46" s="1" t="s">
        <v>235</v>
      </c>
      <c r="S46" s="1" t="s">
        <v>69</v>
      </c>
      <c r="T46" s="1" t="s">
        <v>233</v>
      </c>
      <c r="U46" s="1" t="s">
        <v>70</v>
      </c>
      <c r="V46" s="1" t="s">
        <v>46</v>
      </c>
      <c r="W46" s="1" t="s">
        <v>47</v>
      </c>
      <c r="X46" s="1" t="s">
        <v>48</v>
      </c>
      <c r="Y46" s="1" t="s">
        <v>49</v>
      </c>
      <c r="Z46" s="1" t="s">
        <v>50</v>
      </c>
      <c r="AA46" s="12">
        <v>29.0</v>
      </c>
      <c r="AB46" s="12">
        <f t="shared" si="2"/>
        <v>0.029</v>
      </c>
      <c r="AC46" s="13" t="s">
        <v>51</v>
      </c>
      <c r="AD46" s="13" t="s">
        <v>250</v>
      </c>
      <c r="AE46" s="97" t="str">
        <v>EQ-0041</v>
      </c>
      <c r="AF46" s="98" t="str">
        <v>function generator</v>
      </c>
      <c r="AG46" s="98" t="str">
        <v>CONDITIONAL_MATCH</v>
      </c>
      <c r="AH46" s="98" t="str">
        <v>Match model or supported analogue, operating state, room allocation and all conditions in F. Use D/E only.</v>
      </c>
    </row>
    <row r="47">
      <c r="A47" s="1" t="s">
        <v>230</v>
      </c>
      <c r="B47" s="1" t="s">
        <v>251</v>
      </c>
      <c r="C47" s="13" t="s">
        <v>53</v>
      </c>
      <c r="D47" s="14">
        <v>264.0</v>
      </c>
      <c r="E47" s="14">
        <v>0.0</v>
      </c>
      <c r="F47" s="7" t="s">
        <v>252</v>
      </c>
      <c r="G47" s="15">
        <v>264.0</v>
      </c>
      <c r="H47" s="10">
        <f t="shared" si="1"/>
        <v>0.264</v>
      </c>
      <c r="I47" s="1" t="s">
        <v>233</v>
      </c>
      <c r="J47" s="1" t="s">
        <v>206</v>
      </c>
      <c r="K47" s="1" t="s">
        <v>234</v>
      </c>
      <c r="L47" s="11" t="s">
        <v>58</v>
      </c>
      <c r="M47" s="2" t="s">
        <v>66</v>
      </c>
      <c r="N47" s="2" t="s">
        <v>42</v>
      </c>
      <c r="O47" s="2" t="s">
        <v>67</v>
      </c>
      <c r="P47" s="1" t="s">
        <v>68</v>
      </c>
      <c r="Q47" s="1" t="s">
        <v>68</v>
      </c>
      <c r="R47" s="1" t="s">
        <v>235</v>
      </c>
      <c r="S47" s="1" t="s">
        <v>69</v>
      </c>
      <c r="T47" s="1" t="s">
        <v>233</v>
      </c>
      <c r="U47" s="1" t="s">
        <v>70</v>
      </c>
      <c r="V47" s="1" t="s">
        <v>46</v>
      </c>
      <c r="W47" s="1" t="s">
        <v>47</v>
      </c>
      <c r="X47" s="1" t="s">
        <v>48</v>
      </c>
      <c r="Y47" s="1" t="s">
        <v>49</v>
      </c>
      <c r="Z47" s="1" t="s">
        <v>50</v>
      </c>
      <c r="AA47" s="12">
        <v>264.0</v>
      </c>
      <c r="AB47" s="12">
        <f t="shared" si="2"/>
        <v>0.264</v>
      </c>
      <c r="AC47" s="13" t="s">
        <v>51</v>
      </c>
      <c r="AD47" s="13" t="s">
        <v>252</v>
      </c>
      <c r="AE47" s="97" t="str">
        <v>EQ-0042</v>
      </c>
      <c r="AF47" s="98" t="str">
        <v>small incubator</v>
      </c>
      <c r="AG47" s="98" t="str">
        <v>CONDITIONAL_MATCH</v>
      </c>
      <c r="AH47" s="98" t="str">
        <v>Match model or supported analogue, operating state, room allocation and all conditions in F. Use D/E only.</v>
      </c>
    </row>
    <row r="48">
      <c r="A48" s="1" t="s">
        <v>230</v>
      </c>
      <c r="B48" s="1" t="s">
        <v>253</v>
      </c>
      <c r="C48" s="13" t="s">
        <v>53</v>
      </c>
      <c r="D48" s="14">
        <v>16.0</v>
      </c>
      <c r="E48" s="14">
        <v>0.0</v>
      </c>
      <c r="F48" s="7" t="s">
        <v>254</v>
      </c>
      <c r="G48" s="15">
        <v>16.0</v>
      </c>
      <c r="H48" s="10">
        <f t="shared" si="1"/>
        <v>0.016</v>
      </c>
      <c r="I48" s="1" t="s">
        <v>233</v>
      </c>
      <c r="J48" s="1" t="s">
        <v>206</v>
      </c>
      <c r="K48" s="1" t="s">
        <v>234</v>
      </c>
      <c r="L48" s="11" t="s">
        <v>58</v>
      </c>
      <c r="M48" s="2" t="s">
        <v>66</v>
      </c>
      <c r="N48" s="2" t="s">
        <v>42</v>
      </c>
      <c r="O48" s="2" t="s">
        <v>67</v>
      </c>
      <c r="P48" s="1" t="s">
        <v>68</v>
      </c>
      <c r="Q48" s="1" t="s">
        <v>68</v>
      </c>
      <c r="R48" s="1" t="s">
        <v>235</v>
      </c>
      <c r="S48" s="1" t="s">
        <v>69</v>
      </c>
      <c r="T48" s="1" t="s">
        <v>233</v>
      </c>
      <c r="U48" s="1" t="s">
        <v>70</v>
      </c>
      <c r="V48" s="1" t="s">
        <v>46</v>
      </c>
      <c r="W48" s="1" t="s">
        <v>47</v>
      </c>
      <c r="X48" s="1" t="s">
        <v>48</v>
      </c>
      <c r="Y48" s="1" t="s">
        <v>49</v>
      </c>
      <c r="Z48" s="1" t="s">
        <v>50</v>
      </c>
      <c r="AA48" s="12">
        <v>16.0</v>
      </c>
      <c r="AB48" s="12">
        <f t="shared" si="2"/>
        <v>0.016</v>
      </c>
      <c r="AC48" s="13" t="s">
        <v>51</v>
      </c>
      <c r="AD48" s="13" t="s">
        <v>254</v>
      </c>
      <c r="AE48" s="97" t="str">
        <v>EQ-0043</v>
      </c>
      <c r="AF48" s="98" t="str">
        <v>orbital shaker</v>
      </c>
      <c r="AG48" s="98" t="str">
        <v>CONDITIONAL_MATCH</v>
      </c>
      <c r="AH48" s="98" t="str">
        <v>Match model or supported analogue, operating state, room allocation and all conditions in F. Use D/E only.</v>
      </c>
    </row>
    <row r="49">
      <c r="A49" s="1" t="s">
        <v>230</v>
      </c>
      <c r="B49" s="1" t="s">
        <v>255</v>
      </c>
      <c r="C49" s="13" t="s">
        <v>53</v>
      </c>
      <c r="D49" s="14">
        <v>38.0</v>
      </c>
      <c r="E49" s="14">
        <v>0.0</v>
      </c>
      <c r="F49" s="7" t="s">
        <v>256</v>
      </c>
      <c r="G49" s="15">
        <v>38.0</v>
      </c>
      <c r="H49" s="10">
        <f t="shared" si="1"/>
        <v>0.038</v>
      </c>
      <c r="I49" s="1" t="s">
        <v>233</v>
      </c>
      <c r="J49" s="1" t="s">
        <v>206</v>
      </c>
      <c r="K49" s="1" t="s">
        <v>234</v>
      </c>
      <c r="L49" s="11" t="s">
        <v>58</v>
      </c>
      <c r="M49" s="2" t="s">
        <v>66</v>
      </c>
      <c r="N49" s="2" t="s">
        <v>42</v>
      </c>
      <c r="O49" s="2" t="s">
        <v>67</v>
      </c>
      <c r="P49" s="1" t="s">
        <v>68</v>
      </c>
      <c r="Q49" s="1" t="s">
        <v>68</v>
      </c>
      <c r="R49" s="1" t="s">
        <v>235</v>
      </c>
      <c r="S49" s="1" t="s">
        <v>69</v>
      </c>
      <c r="T49" s="1" t="s">
        <v>233</v>
      </c>
      <c r="U49" s="1" t="s">
        <v>70</v>
      </c>
      <c r="V49" s="1" t="s">
        <v>46</v>
      </c>
      <c r="W49" s="1" t="s">
        <v>47</v>
      </c>
      <c r="X49" s="1" t="s">
        <v>48</v>
      </c>
      <c r="Y49" s="1" t="s">
        <v>49</v>
      </c>
      <c r="Z49" s="1" t="s">
        <v>50</v>
      </c>
      <c r="AA49" s="12">
        <v>38.0</v>
      </c>
      <c r="AB49" s="12">
        <f t="shared" si="2"/>
        <v>0.038</v>
      </c>
      <c r="AC49" s="13" t="s">
        <v>51</v>
      </c>
      <c r="AD49" s="13" t="s">
        <v>256</v>
      </c>
      <c r="AE49" s="97" t="str">
        <v>EQ-0044</v>
      </c>
      <c r="AF49" s="98" t="str">
        <v>oscilloscope</v>
      </c>
      <c r="AG49" s="98" t="str">
        <v>CONDITIONAL_MATCH</v>
      </c>
      <c r="AH49" s="98" t="str">
        <v>Match model or supported analogue, operating state, room allocation and all conditions in F. Use D/E only.</v>
      </c>
    </row>
    <row r="50">
      <c r="A50" s="1" t="s">
        <v>230</v>
      </c>
      <c r="B50" s="1" t="s">
        <v>257</v>
      </c>
      <c r="C50" s="13" t="s">
        <v>53</v>
      </c>
      <c r="D50" s="14">
        <v>641.0</v>
      </c>
      <c r="E50" s="14">
        <v>0.0</v>
      </c>
      <c r="F50" s="7" t="s">
        <v>258</v>
      </c>
      <c r="G50" s="15">
        <v>641.0</v>
      </c>
      <c r="H50" s="10">
        <f t="shared" si="1"/>
        <v>0.641</v>
      </c>
      <c r="I50" s="1" t="s">
        <v>233</v>
      </c>
      <c r="J50" s="1" t="s">
        <v>206</v>
      </c>
      <c r="K50" s="1" t="s">
        <v>234</v>
      </c>
      <c r="L50" s="11" t="s">
        <v>58</v>
      </c>
      <c r="M50" s="2" t="s">
        <v>66</v>
      </c>
      <c r="N50" s="2" t="s">
        <v>42</v>
      </c>
      <c r="O50" s="2" t="s">
        <v>67</v>
      </c>
      <c r="P50" s="1" t="s">
        <v>68</v>
      </c>
      <c r="Q50" s="1" t="s">
        <v>68</v>
      </c>
      <c r="R50" s="1" t="s">
        <v>235</v>
      </c>
      <c r="S50" s="1" t="s">
        <v>69</v>
      </c>
      <c r="T50" s="1" t="s">
        <v>233</v>
      </c>
      <c r="U50" s="1" t="s">
        <v>70</v>
      </c>
      <c r="V50" s="1" t="s">
        <v>46</v>
      </c>
      <c r="W50" s="1" t="s">
        <v>47</v>
      </c>
      <c r="X50" s="1" t="s">
        <v>48</v>
      </c>
      <c r="Y50" s="1" t="s">
        <v>49</v>
      </c>
      <c r="Z50" s="1" t="s">
        <v>50</v>
      </c>
      <c r="AA50" s="12">
        <v>641.0</v>
      </c>
      <c r="AB50" s="12">
        <f t="shared" si="2"/>
        <v>0.641</v>
      </c>
      <c r="AC50" s="13" t="s">
        <v>51</v>
      </c>
      <c r="AD50" s="13" t="s">
        <v>258</v>
      </c>
      <c r="AE50" s="97" t="str">
        <v>EQ-0045</v>
      </c>
      <c r="AF50" s="98" t="str">
        <v>thermocycler</v>
      </c>
      <c r="AG50" s="98" t="str">
        <v>CONDITIONAL_MATCH</v>
      </c>
      <c r="AH50" s="98" t="str">
        <v>Match model or supported analogue, operating state, room allocation and all conditions in F. Use D/E only.</v>
      </c>
    </row>
    <row r="51">
      <c r="A51" s="1" t="s">
        <v>259</v>
      </c>
      <c r="B51" s="1" t="s">
        <v>260</v>
      </c>
      <c r="C51" s="13" t="s">
        <v>35</v>
      </c>
      <c r="D51" s="14">
        <v>9.0</v>
      </c>
      <c r="E51" s="14">
        <v>0.0</v>
      </c>
      <c r="F51" s="13" t="s">
        <v>261</v>
      </c>
      <c r="G51" s="15">
        <v>9.0</v>
      </c>
      <c r="H51" s="10">
        <f t="shared" si="1"/>
        <v>0.009</v>
      </c>
      <c r="I51" s="1" t="s">
        <v>262</v>
      </c>
      <c r="J51" s="1" t="s">
        <v>263</v>
      </c>
      <c r="K51" s="1" t="s">
        <v>264</v>
      </c>
      <c r="L51" s="11" t="s">
        <v>265</v>
      </c>
      <c r="M51" s="2" t="s">
        <v>66</v>
      </c>
      <c r="N51" s="2" t="s">
        <v>266</v>
      </c>
      <c r="O51" s="2" t="s">
        <v>67</v>
      </c>
      <c r="P51" s="1" t="s">
        <v>68</v>
      </c>
      <c r="Q51" s="1" t="s">
        <v>68</v>
      </c>
      <c r="R51" s="1" t="s">
        <v>43</v>
      </c>
      <c r="S51" s="1" t="s">
        <v>267</v>
      </c>
      <c r="T51" s="1" t="s">
        <v>262</v>
      </c>
      <c r="U51" s="1" t="s">
        <v>70</v>
      </c>
      <c r="V51" s="1" t="s">
        <v>46</v>
      </c>
      <c r="W51" s="1" t="s">
        <v>47</v>
      </c>
      <c r="X51" s="1" t="s">
        <v>48</v>
      </c>
      <c r="Y51" s="1" t="s">
        <v>49</v>
      </c>
      <c r="Z51" s="1" t="s">
        <v>50</v>
      </c>
      <c r="AA51" s="12">
        <v>9.0</v>
      </c>
      <c r="AB51" s="12">
        <f t="shared" si="2"/>
        <v>0.009</v>
      </c>
      <c r="AC51" s="13" t="s">
        <v>51</v>
      </c>
      <c r="AD51" s="13" t="s">
        <v>261</v>
      </c>
      <c r="AE51" s="97" t="str">
        <v>EQ-0046</v>
      </c>
      <c r="AF51" s="98" t="str">
        <v>compact wi-fi access point</v>
      </c>
      <c r="AG51" s="98" t="str">
        <v>CONDITIONAL_MATCH</v>
      </c>
      <c r="AH51" s="98" t="str">
        <v>Match model or supported analogue, operating state, room allocation and all conditions in F. Use D/E only.</v>
      </c>
    </row>
    <row r="52">
      <c r="A52" s="1" t="s">
        <v>259</v>
      </c>
      <c r="B52" s="1" t="s">
        <v>268</v>
      </c>
      <c r="C52" s="13" t="s">
        <v>35</v>
      </c>
      <c r="D52" s="14">
        <v>13.0</v>
      </c>
      <c r="E52" s="14">
        <v>0.0</v>
      </c>
      <c r="F52" s="13" t="s">
        <v>269</v>
      </c>
      <c r="G52" s="15">
        <v>13.0</v>
      </c>
      <c r="H52" s="10">
        <f t="shared" si="1"/>
        <v>0.013</v>
      </c>
      <c r="I52" s="1" t="s">
        <v>262</v>
      </c>
      <c r="J52" s="1" t="s">
        <v>263</v>
      </c>
      <c r="K52" s="1" t="s">
        <v>270</v>
      </c>
      <c r="L52" s="11" t="s">
        <v>265</v>
      </c>
      <c r="M52" s="2" t="s">
        <v>66</v>
      </c>
      <c r="N52" s="2" t="s">
        <v>266</v>
      </c>
      <c r="O52" s="2" t="s">
        <v>67</v>
      </c>
      <c r="P52" s="1" t="s">
        <v>68</v>
      </c>
      <c r="Q52" s="1" t="s">
        <v>68</v>
      </c>
      <c r="R52" s="1" t="s">
        <v>43</v>
      </c>
      <c r="S52" s="1" t="s">
        <v>271</v>
      </c>
      <c r="T52" s="1" t="s">
        <v>262</v>
      </c>
      <c r="U52" s="1" t="s">
        <v>70</v>
      </c>
      <c r="V52" s="1" t="s">
        <v>46</v>
      </c>
      <c r="W52" s="1" t="s">
        <v>47</v>
      </c>
      <c r="X52" s="1" t="s">
        <v>48</v>
      </c>
      <c r="Y52" s="1" t="s">
        <v>49</v>
      </c>
      <c r="Z52" s="1" t="s">
        <v>50</v>
      </c>
      <c r="AA52" s="12">
        <v>13.0</v>
      </c>
      <c r="AB52" s="12">
        <f t="shared" si="2"/>
        <v>0.013</v>
      </c>
      <c r="AC52" s="13" t="s">
        <v>51</v>
      </c>
      <c r="AD52" s="13" t="s">
        <v>269</v>
      </c>
      <c r="AE52" s="97" t="str">
        <v>EQ-0047</v>
      </c>
      <c r="AF52" s="98" t="str">
        <v>standard wi-fi access point</v>
      </c>
      <c r="AG52" s="98" t="str">
        <v>CONDITIONAL_MATCH</v>
      </c>
      <c r="AH52" s="98" t="str">
        <v>Match model or supported analogue, operating state, room allocation and all conditions in F. Use D/E only.</v>
      </c>
    </row>
    <row r="53">
      <c r="A53" s="1" t="s">
        <v>259</v>
      </c>
      <c r="B53" s="1" t="s">
        <v>272</v>
      </c>
      <c r="C53" s="13" t="s">
        <v>35</v>
      </c>
      <c r="D53" s="14">
        <v>18.5</v>
      </c>
      <c r="E53" s="14">
        <v>0.0</v>
      </c>
      <c r="F53" s="13" t="s">
        <v>273</v>
      </c>
      <c r="G53" s="15">
        <v>18.5</v>
      </c>
      <c r="H53" s="10">
        <f t="shared" si="1"/>
        <v>0.0185</v>
      </c>
      <c r="I53" s="1" t="s">
        <v>262</v>
      </c>
      <c r="J53" s="1" t="s">
        <v>263</v>
      </c>
      <c r="K53" s="1" t="s">
        <v>274</v>
      </c>
      <c r="L53" s="11" t="s">
        <v>265</v>
      </c>
      <c r="M53" s="2" t="s">
        <v>66</v>
      </c>
      <c r="N53" s="2" t="s">
        <v>266</v>
      </c>
      <c r="O53" s="2" t="s">
        <v>67</v>
      </c>
      <c r="P53" s="1" t="s">
        <v>68</v>
      </c>
      <c r="Q53" s="1" t="s">
        <v>68</v>
      </c>
      <c r="R53" s="1" t="s">
        <v>43</v>
      </c>
      <c r="S53" s="1" t="s">
        <v>275</v>
      </c>
      <c r="T53" s="1" t="s">
        <v>262</v>
      </c>
      <c r="U53" s="1" t="s">
        <v>70</v>
      </c>
      <c r="V53" s="1" t="s">
        <v>46</v>
      </c>
      <c r="W53" s="1" t="s">
        <v>47</v>
      </c>
      <c r="X53" s="1" t="s">
        <v>48</v>
      </c>
      <c r="Y53" s="1" t="s">
        <v>49</v>
      </c>
      <c r="Z53" s="1" t="s">
        <v>50</v>
      </c>
      <c r="AA53" s="12">
        <v>18.5</v>
      </c>
      <c r="AB53" s="12">
        <f t="shared" si="2"/>
        <v>0.0185</v>
      </c>
      <c r="AC53" s="13" t="s">
        <v>51</v>
      </c>
      <c r="AD53" s="13" t="s">
        <v>273</v>
      </c>
      <c r="AE53" s="97" t="str">
        <v>EQ-0048</v>
      </c>
      <c r="AF53" s="98" t="str">
        <v>long-range wi-fi access point</v>
      </c>
      <c r="AG53" s="98" t="str">
        <v>CONDITIONAL_MATCH</v>
      </c>
      <c r="AH53" s="98" t="str">
        <v>Match model or supported analogue, operating state, room allocation and all conditions in F. Use D/E only.</v>
      </c>
    </row>
    <row r="54">
      <c r="A54" s="1" t="s">
        <v>259</v>
      </c>
      <c r="B54" s="1" t="s">
        <v>276</v>
      </c>
      <c r="C54" s="13" t="s">
        <v>35</v>
      </c>
      <c r="D54" s="14">
        <v>22.0</v>
      </c>
      <c r="E54" s="14">
        <v>0.0</v>
      </c>
      <c r="F54" s="13" t="s">
        <v>277</v>
      </c>
      <c r="G54" s="15">
        <v>22.0</v>
      </c>
      <c r="H54" s="10">
        <f t="shared" si="1"/>
        <v>0.022</v>
      </c>
      <c r="I54" s="1" t="s">
        <v>262</v>
      </c>
      <c r="J54" s="1" t="s">
        <v>263</v>
      </c>
      <c r="K54" s="1" t="s">
        <v>278</v>
      </c>
      <c r="L54" s="11" t="s">
        <v>265</v>
      </c>
      <c r="M54" s="2" t="s">
        <v>66</v>
      </c>
      <c r="N54" s="2" t="s">
        <v>266</v>
      </c>
      <c r="O54" s="2" t="s">
        <v>67</v>
      </c>
      <c r="P54" s="1" t="s">
        <v>68</v>
      </c>
      <c r="Q54" s="1" t="s">
        <v>68</v>
      </c>
      <c r="R54" s="1" t="s">
        <v>43</v>
      </c>
      <c r="S54" s="1" t="s">
        <v>279</v>
      </c>
      <c r="T54" s="1" t="s">
        <v>262</v>
      </c>
      <c r="U54" s="1" t="s">
        <v>70</v>
      </c>
      <c r="V54" s="1" t="s">
        <v>46</v>
      </c>
      <c r="W54" s="1" t="s">
        <v>47</v>
      </c>
      <c r="X54" s="1" t="s">
        <v>48</v>
      </c>
      <c r="Y54" s="1" t="s">
        <v>49</v>
      </c>
      <c r="Z54" s="1" t="s">
        <v>50</v>
      </c>
      <c r="AA54" s="12">
        <v>22.0</v>
      </c>
      <c r="AB54" s="12">
        <f t="shared" si="2"/>
        <v>0.022</v>
      </c>
      <c r="AC54" s="13" t="s">
        <v>51</v>
      </c>
      <c r="AD54" s="13" t="s">
        <v>277</v>
      </c>
      <c r="AE54" s="97" t="str">
        <v>EQ-0049</v>
      </c>
      <c r="AF54" s="98" t="str">
        <v>enterprise wi-fi access point</v>
      </c>
      <c r="AG54" s="98" t="str">
        <v>CONDITIONAL_MATCH</v>
      </c>
      <c r="AH54" s="98" t="str">
        <v>Match model or supported analogue, operating state, room allocation and all conditions in F. Use D/E only.</v>
      </c>
    </row>
    <row r="55">
      <c r="A55" s="1" t="s">
        <v>280</v>
      </c>
      <c r="B55" s="1" t="s">
        <v>281</v>
      </c>
      <c r="C55" s="13" t="s">
        <v>35</v>
      </c>
      <c r="D55" s="14">
        <v>4.0</v>
      </c>
      <c r="E55" s="14">
        <v>0.0</v>
      </c>
      <c r="F55" s="13" t="s">
        <v>282</v>
      </c>
      <c r="G55" s="15">
        <v>4.0</v>
      </c>
      <c r="H55" s="10">
        <f t="shared" si="1"/>
        <v>0.004</v>
      </c>
      <c r="I55" s="1" t="s">
        <v>262</v>
      </c>
      <c r="J55" s="1" t="s">
        <v>263</v>
      </c>
      <c r="K55" s="1" t="s">
        <v>283</v>
      </c>
      <c r="L55" s="11" t="s">
        <v>265</v>
      </c>
      <c r="M55" s="2" t="s">
        <v>66</v>
      </c>
      <c r="N55" s="2" t="s">
        <v>266</v>
      </c>
      <c r="O55" s="2" t="s">
        <v>67</v>
      </c>
      <c r="P55" s="1" t="s">
        <v>68</v>
      </c>
      <c r="Q55" s="1" t="s">
        <v>68</v>
      </c>
      <c r="R55" s="1" t="s">
        <v>43</v>
      </c>
      <c r="S55" s="1" t="s">
        <v>284</v>
      </c>
      <c r="T55" s="1" t="s">
        <v>262</v>
      </c>
      <c r="U55" s="1" t="s">
        <v>70</v>
      </c>
      <c r="V55" s="1" t="s">
        <v>46</v>
      </c>
      <c r="W55" s="1" t="s">
        <v>47</v>
      </c>
      <c r="X55" s="1" t="s">
        <v>48</v>
      </c>
      <c r="Y55" s="1" t="s">
        <v>49</v>
      </c>
      <c r="Z55" s="1" t="s">
        <v>50</v>
      </c>
      <c r="AA55" s="12">
        <v>4.0</v>
      </c>
      <c r="AB55" s="12">
        <f t="shared" si="2"/>
        <v>0.004</v>
      </c>
      <c r="AC55" s="13" t="s">
        <v>51</v>
      </c>
      <c r="AD55" s="13" t="s">
        <v>282</v>
      </c>
      <c r="AE55" s="97" t="str">
        <v>EQ-0050</v>
      </c>
      <c r="AF55" s="98" t="str">
        <v>compact security camera</v>
      </c>
      <c r="AG55" s="98" t="str">
        <v>CONDITIONAL_MATCH</v>
      </c>
      <c r="AH55" s="98" t="str">
        <v>Match model or supported analogue, operating state, room allocation and all conditions in F. Use D/E only.</v>
      </c>
    </row>
    <row r="56">
      <c r="A56" s="1" t="s">
        <v>280</v>
      </c>
      <c r="B56" s="1" t="s">
        <v>285</v>
      </c>
      <c r="C56" s="13" t="s">
        <v>35</v>
      </c>
      <c r="D56" s="14">
        <v>5.0</v>
      </c>
      <c r="E56" s="14">
        <v>0.0</v>
      </c>
      <c r="F56" s="13" t="s">
        <v>286</v>
      </c>
      <c r="G56" s="15">
        <v>5.0</v>
      </c>
      <c r="H56" s="10">
        <f t="shared" si="1"/>
        <v>0.005</v>
      </c>
      <c r="I56" s="1" t="s">
        <v>262</v>
      </c>
      <c r="J56" s="1" t="s">
        <v>263</v>
      </c>
      <c r="K56" s="1" t="s">
        <v>287</v>
      </c>
      <c r="L56" s="11" t="s">
        <v>265</v>
      </c>
      <c r="M56" s="2" t="s">
        <v>66</v>
      </c>
      <c r="N56" s="2" t="s">
        <v>266</v>
      </c>
      <c r="O56" s="2" t="s">
        <v>67</v>
      </c>
      <c r="P56" s="1" t="s">
        <v>68</v>
      </c>
      <c r="Q56" s="1" t="s">
        <v>68</v>
      </c>
      <c r="R56" s="1" t="s">
        <v>43</v>
      </c>
      <c r="S56" s="1" t="s">
        <v>288</v>
      </c>
      <c r="T56" s="1" t="s">
        <v>262</v>
      </c>
      <c r="U56" s="1" t="s">
        <v>70</v>
      </c>
      <c r="V56" s="1" t="s">
        <v>46</v>
      </c>
      <c r="W56" s="1" t="s">
        <v>47</v>
      </c>
      <c r="X56" s="1" t="s">
        <v>48</v>
      </c>
      <c r="Y56" s="1" t="s">
        <v>49</v>
      </c>
      <c r="Z56" s="1" t="s">
        <v>50</v>
      </c>
      <c r="AA56" s="12">
        <v>5.0</v>
      </c>
      <c r="AB56" s="12">
        <f t="shared" si="2"/>
        <v>0.005</v>
      </c>
      <c r="AC56" s="13" t="s">
        <v>51</v>
      </c>
      <c r="AD56" s="13" t="s">
        <v>286</v>
      </c>
      <c r="AE56" s="97" t="str">
        <v>EQ-0051</v>
      </c>
      <c r="AF56" s="98" t="str">
        <v>bullet security camera</v>
      </c>
      <c r="AG56" s="98" t="str">
        <v>CONDITIONAL_MATCH</v>
      </c>
      <c r="AH56" s="98" t="str">
        <v>Match model or supported analogue, operating state, room allocation and all conditions in F. Use D/E only.</v>
      </c>
    </row>
    <row r="57">
      <c r="A57" s="1" t="s">
        <v>280</v>
      </c>
      <c r="B57" s="1" t="s">
        <v>289</v>
      </c>
      <c r="C57" s="13" t="s">
        <v>35</v>
      </c>
      <c r="D57" s="14">
        <v>7.7</v>
      </c>
      <c r="E57" s="14">
        <v>0.0</v>
      </c>
      <c r="F57" s="13" t="s">
        <v>290</v>
      </c>
      <c r="G57" s="15">
        <v>7.7</v>
      </c>
      <c r="H57" s="10">
        <f t="shared" si="1"/>
        <v>0.0077</v>
      </c>
      <c r="I57" s="1" t="s">
        <v>262</v>
      </c>
      <c r="J57" s="1" t="s">
        <v>263</v>
      </c>
      <c r="K57" s="1" t="s">
        <v>291</v>
      </c>
      <c r="L57" s="11" t="s">
        <v>265</v>
      </c>
      <c r="M57" s="2" t="s">
        <v>66</v>
      </c>
      <c r="N57" s="2" t="s">
        <v>266</v>
      </c>
      <c r="O57" s="2" t="s">
        <v>67</v>
      </c>
      <c r="P57" s="1" t="s">
        <v>68</v>
      </c>
      <c r="Q57" s="1" t="s">
        <v>68</v>
      </c>
      <c r="R57" s="1" t="s">
        <v>43</v>
      </c>
      <c r="S57" s="1" t="s">
        <v>292</v>
      </c>
      <c r="T57" s="1" t="s">
        <v>262</v>
      </c>
      <c r="U57" s="1" t="s">
        <v>70</v>
      </c>
      <c r="V57" s="1" t="s">
        <v>46</v>
      </c>
      <c r="W57" s="1" t="s">
        <v>47</v>
      </c>
      <c r="X57" s="1" t="s">
        <v>48</v>
      </c>
      <c r="Y57" s="1" t="s">
        <v>49</v>
      </c>
      <c r="Z57" s="1" t="s">
        <v>50</v>
      </c>
      <c r="AA57" s="12">
        <v>7.7</v>
      </c>
      <c r="AB57" s="12">
        <f t="shared" si="2"/>
        <v>0.0077</v>
      </c>
      <c r="AC57" s="13" t="s">
        <v>51</v>
      </c>
      <c r="AD57" s="13" t="s">
        <v>290</v>
      </c>
      <c r="AE57" s="97" t="str">
        <v>EQ-0052</v>
      </c>
      <c r="AF57" s="98" t="str">
        <v>dome security camera</v>
      </c>
      <c r="AG57" s="98" t="str">
        <v>CONDITIONAL_MATCH</v>
      </c>
      <c r="AH57" s="98" t="str">
        <v>Match model or supported analogue, operating state, room allocation and all conditions in F. Use D/E only.</v>
      </c>
    </row>
    <row r="58">
      <c r="A58" s="1" t="s">
        <v>280</v>
      </c>
      <c r="B58" s="1" t="s">
        <v>293</v>
      </c>
      <c r="C58" s="13" t="s">
        <v>35</v>
      </c>
      <c r="D58" s="14">
        <v>8.6</v>
      </c>
      <c r="E58" s="14">
        <v>0.0</v>
      </c>
      <c r="F58" s="13" t="s">
        <v>294</v>
      </c>
      <c r="G58" s="15">
        <v>8.6</v>
      </c>
      <c r="H58" s="10">
        <f t="shared" si="1"/>
        <v>0.0086</v>
      </c>
      <c r="I58" s="1" t="s">
        <v>262</v>
      </c>
      <c r="J58" s="1" t="s">
        <v>263</v>
      </c>
      <c r="K58" s="1" t="s">
        <v>295</v>
      </c>
      <c r="L58" s="11" t="s">
        <v>265</v>
      </c>
      <c r="M58" s="2" t="s">
        <v>66</v>
      </c>
      <c r="N58" s="2" t="s">
        <v>266</v>
      </c>
      <c r="O58" s="2" t="s">
        <v>67</v>
      </c>
      <c r="P58" s="1" t="s">
        <v>68</v>
      </c>
      <c r="Q58" s="1" t="s">
        <v>68</v>
      </c>
      <c r="R58" s="1" t="s">
        <v>43</v>
      </c>
      <c r="S58" s="1" t="s">
        <v>296</v>
      </c>
      <c r="T58" s="1" t="s">
        <v>262</v>
      </c>
      <c r="U58" s="1" t="s">
        <v>70</v>
      </c>
      <c r="V58" s="1" t="s">
        <v>46</v>
      </c>
      <c r="W58" s="1" t="s">
        <v>47</v>
      </c>
      <c r="X58" s="1" t="s">
        <v>48</v>
      </c>
      <c r="Y58" s="1" t="s">
        <v>49</v>
      </c>
      <c r="Z58" s="1" t="s">
        <v>50</v>
      </c>
      <c r="AA58" s="12">
        <v>8.6</v>
      </c>
      <c r="AB58" s="12">
        <f t="shared" si="2"/>
        <v>0.0086</v>
      </c>
      <c r="AC58" s="13" t="s">
        <v>51</v>
      </c>
      <c r="AD58" s="13" t="s">
        <v>294</v>
      </c>
      <c r="AE58" s="97" t="str">
        <v>EQ-0053</v>
      </c>
      <c r="AF58" s="98" t="str">
        <v>360-degree security camera</v>
      </c>
      <c r="AG58" s="98" t="str">
        <v>CONDITIONAL_MATCH</v>
      </c>
      <c r="AH58" s="98" t="str">
        <v>Match model or supported analogue, operating state, room allocation and all conditions in F. Use D/E only.</v>
      </c>
    </row>
    <row r="59">
      <c r="A59" s="1" t="s">
        <v>280</v>
      </c>
      <c r="B59" s="1" t="s">
        <v>297</v>
      </c>
      <c r="C59" s="13" t="s">
        <v>35</v>
      </c>
      <c r="D59" s="14">
        <v>10.0</v>
      </c>
      <c r="E59" s="14">
        <v>0.0</v>
      </c>
      <c r="F59" s="13" t="s">
        <v>298</v>
      </c>
      <c r="G59" s="15">
        <v>10.0</v>
      </c>
      <c r="H59" s="10">
        <f t="shared" si="1"/>
        <v>0.01</v>
      </c>
      <c r="I59" s="1" t="s">
        <v>262</v>
      </c>
      <c r="J59" s="1" t="s">
        <v>263</v>
      </c>
      <c r="K59" s="1" t="s">
        <v>299</v>
      </c>
      <c r="L59" s="11" t="s">
        <v>265</v>
      </c>
      <c r="M59" s="2" t="s">
        <v>66</v>
      </c>
      <c r="N59" s="2" t="s">
        <v>266</v>
      </c>
      <c r="O59" s="2" t="s">
        <v>67</v>
      </c>
      <c r="P59" s="1" t="s">
        <v>68</v>
      </c>
      <c r="Q59" s="1" t="s">
        <v>68</v>
      </c>
      <c r="R59" s="1" t="s">
        <v>43</v>
      </c>
      <c r="S59" s="1" t="s">
        <v>300</v>
      </c>
      <c r="T59" s="1" t="s">
        <v>262</v>
      </c>
      <c r="U59" s="1" t="s">
        <v>70</v>
      </c>
      <c r="V59" s="1" t="s">
        <v>46</v>
      </c>
      <c r="W59" s="1" t="s">
        <v>47</v>
      </c>
      <c r="X59" s="1" t="s">
        <v>48</v>
      </c>
      <c r="Y59" s="1" t="s">
        <v>49</v>
      </c>
      <c r="Z59" s="1" t="s">
        <v>50</v>
      </c>
      <c r="AA59" s="12">
        <v>10.0</v>
      </c>
      <c r="AB59" s="12">
        <f t="shared" si="2"/>
        <v>0.01</v>
      </c>
      <c r="AC59" s="13" t="s">
        <v>51</v>
      </c>
      <c r="AD59" s="13" t="s">
        <v>298</v>
      </c>
      <c r="AE59" s="97" t="str">
        <v>EQ-0054</v>
      </c>
      <c r="AF59" s="98" t="str">
        <v>high-resolution security camera</v>
      </c>
      <c r="AG59" s="98" t="str">
        <v>CONDITIONAL_MATCH</v>
      </c>
      <c r="AH59" s="98" t="str">
        <v>Match model or supported analogue, operating state, room allocation and all conditions in F. Use D/E only.</v>
      </c>
    </row>
    <row r="60">
      <c r="A60" s="1" t="s">
        <v>280</v>
      </c>
      <c r="B60" s="1" t="s">
        <v>301</v>
      </c>
      <c r="C60" s="13" t="s">
        <v>35</v>
      </c>
      <c r="D60" s="14">
        <v>42.9</v>
      </c>
      <c r="E60" s="14">
        <v>0.0</v>
      </c>
      <c r="F60" s="13" t="s">
        <v>302</v>
      </c>
      <c r="G60" s="15">
        <v>42.9</v>
      </c>
      <c r="H60" s="10">
        <f t="shared" si="1"/>
        <v>0.0429</v>
      </c>
      <c r="I60" s="1" t="s">
        <v>262</v>
      </c>
      <c r="J60" s="1" t="s">
        <v>263</v>
      </c>
      <c r="K60" s="1" t="s">
        <v>303</v>
      </c>
      <c r="L60" s="11" t="s">
        <v>265</v>
      </c>
      <c r="M60" s="2" t="s">
        <v>66</v>
      </c>
      <c r="N60" s="2" t="s">
        <v>266</v>
      </c>
      <c r="O60" s="2" t="s">
        <v>67</v>
      </c>
      <c r="P60" s="1" t="s">
        <v>68</v>
      </c>
      <c r="Q60" s="1" t="s">
        <v>68</v>
      </c>
      <c r="R60" s="1" t="s">
        <v>43</v>
      </c>
      <c r="S60" s="1" t="s">
        <v>304</v>
      </c>
      <c r="T60" s="1" t="s">
        <v>262</v>
      </c>
      <c r="U60" s="1" t="s">
        <v>70</v>
      </c>
      <c r="V60" s="1" t="s">
        <v>46</v>
      </c>
      <c r="W60" s="1" t="s">
        <v>47</v>
      </c>
      <c r="X60" s="1" t="s">
        <v>48</v>
      </c>
      <c r="Y60" s="1" t="s">
        <v>49</v>
      </c>
      <c r="Z60" s="1" t="s">
        <v>50</v>
      </c>
      <c r="AA60" s="12">
        <v>42.9</v>
      </c>
      <c r="AB60" s="12">
        <f t="shared" si="2"/>
        <v>0.0429</v>
      </c>
      <c r="AC60" s="13" t="s">
        <v>51</v>
      </c>
      <c r="AD60" s="13" t="s">
        <v>302</v>
      </c>
      <c r="AE60" s="97" t="str">
        <v>EQ-0055</v>
      </c>
      <c r="AF60" s="98" t="str">
        <v>ptz security camera</v>
      </c>
      <c r="AG60" s="98" t="str">
        <v>CONDITIONAL_MATCH</v>
      </c>
      <c r="AH60" s="98" t="str">
        <v>Match model or supported analogue, operating state, room allocation and all conditions in F. Use D/E only.</v>
      </c>
    </row>
    <row r="61">
      <c r="A61" s="1" t="s">
        <v>280</v>
      </c>
      <c r="B61" s="1" t="s">
        <v>305</v>
      </c>
      <c r="C61" s="13" t="s">
        <v>35</v>
      </c>
      <c r="D61" s="14">
        <v>5.0</v>
      </c>
      <c r="E61" s="14">
        <v>0.0</v>
      </c>
      <c r="F61" s="13" t="s">
        <v>306</v>
      </c>
      <c r="G61" s="15">
        <v>5.0</v>
      </c>
      <c r="H61" s="10">
        <f t="shared" si="1"/>
        <v>0.005</v>
      </c>
      <c r="I61" s="1" t="s">
        <v>262</v>
      </c>
      <c r="J61" s="1" t="s">
        <v>263</v>
      </c>
      <c r="K61" s="1" t="s">
        <v>307</v>
      </c>
      <c r="L61" s="11" t="s">
        <v>265</v>
      </c>
      <c r="M61" s="2" t="s">
        <v>66</v>
      </c>
      <c r="N61" s="2" t="s">
        <v>266</v>
      </c>
      <c r="O61" s="2" t="s">
        <v>67</v>
      </c>
      <c r="P61" s="1" t="s">
        <v>68</v>
      </c>
      <c r="Q61" s="1" t="s">
        <v>68</v>
      </c>
      <c r="R61" s="1" t="s">
        <v>43</v>
      </c>
      <c r="S61" s="1" t="s">
        <v>308</v>
      </c>
      <c r="T61" s="1" t="s">
        <v>262</v>
      </c>
      <c r="U61" s="1" t="s">
        <v>70</v>
      </c>
      <c r="V61" s="1" t="s">
        <v>46</v>
      </c>
      <c r="W61" s="1" t="s">
        <v>47</v>
      </c>
      <c r="X61" s="1" t="s">
        <v>48</v>
      </c>
      <c r="Y61" s="1" t="s">
        <v>49</v>
      </c>
      <c r="Z61" s="1" t="s">
        <v>50</v>
      </c>
      <c r="AA61" s="12">
        <v>5.0</v>
      </c>
      <c r="AB61" s="12">
        <f t="shared" si="2"/>
        <v>0.005</v>
      </c>
      <c r="AC61" s="13" t="s">
        <v>51</v>
      </c>
      <c r="AD61" s="13" t="s">
        <v>306</v>
      </c>
      <c r="AE61" s="97" t="str">
        <v>EQ-0056</v>
      </c>
      <c r="AF61" s="98" t="str">
        <v>access card reader</v>
      </c>
      <c r="AG61" s="98" t="str">
        <v>CONDITIONAL_MATCH</v>
      </c>
      <c r="AH61" s="98" t="str">
        <v>Match model or supported analogue, operating state, room allocation and all conditions in F. Use D/E only.</v>
      </c>
    </row>
    <row r="62">
      <c r="A62" s="1" t="s">
        <v>280</v>
      </c>
      <c r="B62" s="1" t="s">
        <v>309</v>
      </c>
      <c r="C62" s="13" t="s">
        <v>35</v>
      </c>
      <c r="D62" s="14">
        <v>13.0</v>
      </c>
      <c r="E62" s="14">
        <v>0.0</v>
      </c>
      <c r="F62" s="13" t="s">
        <v>310</v>
      </c>
      <c r="G62" s="15">
        <v>13.0</v>
      </c>
      <c r="H62" s="10">
        <f t="shared" si="1"/>
        <v>0.013</v>
      </c>
      <c r="I62" s="1" t="s">
        <v>262</v>
      </c>
      <c r="J62" s="1" t="s">
        <v>263</v>
      </c>
      <c r="K62" s="1" t="s">
        <v>311</v>
      </c>
      <c r="L62" s="11" t="s">
        <v>265</v>
      </c>
      <c r="M62" s="2" t="s">
        <v>66</v>
      </c>
      <c r="N62" s="2" t="s">
        <v>266</v>
      </c>
      <c r="O62" s="2" t="s">
        <v>67</v>
      </c>
      <c r="P62" s="1" t="s">
        <v>68</v>
      </c>
      <c r="Q62" s="1" t="s">
        <v>68</v>
      </c>
      <c r="R62" s="1" t="s">
        <v>43</v>
      </c>
      <c r="S62" s="1" t="s">
        <v>312</v>
      </c>
      <c r="T62" s="1" t="s">
        <v>262</v>
      </c>
      <c r="U62" s="1" t="s">
        <v>70</v>
      </c>
      <c r="V62" s="1" t="s">
        <v>46</v>
      </c>
      <c r="W62" s="1" t="s">
        <v>47</v>
      </c>
      <c r="X62" s="1" t="s">
        <v>48</v>
      </c>
      <c r="Y62" s="1" t="s">
        <v>49</v>
      </c>
      <c r="Z62" s="1" t="s">
        <v>50</v>
      </c>
      <c r="AA62" s="12">
        <v>13.0</v>
      </c>
      <c r="AB62" s="12">
        <f t="shared" si="2"/>
        <v>0.013</v>
      </c>
      <c r="AC62" s="13" t="s">
        <v>51</v>
      </c>
      <c r="AD62" s="13" t="s">
        <v>310</v>
      </c>
      <c r="AE62" s="97" t="str">
        <v>EQ-0057</v>
      </c>
      <c r="AF62" s="98" t="str">
        <v>video intercom</v>
      </c>
      <c r="AG62" s="98" t="str">
        <v>CONDITIONAL_MATCH</v>
      </c>
      <c r="AH62" s="98" t="str">
        <v>Match model or supported analogue, operating state, room allocation and all conditions in F. Use D/E only.</v>
      </c>
    </row>
    <row r="63">
      <c r="A63" s="1" t="s">
        <v>280</v>
      </c>
      <c r="B63" s="1" t="s">
        <v>313</v>
      </c>
      <c r="C63" s="13" t="s">
        <v>35</v>
      </c>
      <c r="D63" s="14">
        <v>5.0</v>
      </c>
      <c r="E63" s="14">
        <v>0.0</v>
      </c>
      <c r="F63" s="13" t="s">
        <v>314</v>
      </c>
      <c r="G63" s="15">
        <v>5.0</v>
      </c>
      <c r="H63" s="10">
        <f t="shared" si="1"/>
        <v>0.005</v>
      </c>
      <c r="I63" s="1" t="s">
        <v>262</v>
      </c>
      <c r="J63" s="1" t="s">
        <v>263</v>
      </c>
      <c r="K63" s="1" t="s">
        <v>315</v>
      </c>
      <c r="L63" s="11" t="s">
        <v>265</v>
      </c>
      <c r="M63" s="2" t="s">
        <v>66</v>
      </c>
      <c r="N63" s="2" t="s">
        <v>266</v>
      </c>
      <c r="O63" s="2" t="s">
        <v>67</v>
      </c>
      <c r="P63" s="1" t="s">
        <v>68</v>
      </c>
      <c r="Q63" s="1" t="s">
        <v>68</v>
      </c>
      <c r="R63" s="1" t="s">
        <v>43</v>
      </c>
      <c r="S63" s="1" t="s">
        <v>316</v>
      </c>
      <c r="T63" s="1" t="s">
        <v>262</v>
      </c>
      <c r="U63" s="1" t="s">
        <v>70</v>
      </c>
      <c r="V63" s="1" t="s">
        <v>46</v>
      </c>
      <c r="W63" s="1" t="s">
        <v>47</v>
      </c>
      <c r="X63" s="1" t="s">
        <v>48</v>
      </c>
      <c r="Y63" s="1" t="s">
        <v>49</v>
      </c>
      <c r="Z63" s="1" t="s">
        <v>50</v>
      </c>
      <c r="AA63" s="12">
        <v>5.0</v>
      </c>
      <c r="AB63" s="12">
        <f t="shared" si="2"/>
        <v>0.005</v>
      </c>
      <c r="AC63" s="13" t="s">
        <v>51</v>
      </c>
      <c r="AD63" s="13" t="s">
        <v>314</v>
      </c>
      <c r="AE63" s="97" t="str">
        <v>EQ-0058</v>
      </c>
      <c r="AF63" s="98" t="str">
        <v>intercom viewing screen</v>
      </c>
      <c r="AG63" s="98" t="str">
        <v>CONDITIONAL_MATCH</v>
      </c>
      <c r="AH63" s="98" t="str">
        <v>Match model or supported analogue, operating state, room allocation and all conditions in F. Use D/E only.</v>
      </c>
    </row>
    <row r="64">
      <c r="A64" s="1" t="s">
        <v>317</v>
      </c>
      <c r="B64" s="1" t="s">
        <v>318</v>
      </c>
      <c r="C64" s="13" t="s">
        <v>35</v>
      </c>
      <c r="D64" s="14">
        <v>8.0</v>
      </c>
      <c r="E64" s="14">
        <v>0.0</v>
      </c>
      <c r="F64" s="13" t="s">
        <v>319</v>
      </c>
      <c r="G64" s="15">
        <v>8.0</v>
      </c>
      <c r="H64" s="10">
        <f t="shared" si="1"/>
        <v>0.008</v>
      </c>
      <c r="I64" s="1" t="s">
        <v>262</v>
      </c>
      <c r="J64" s="1" t="s">
        <v>263</v>
      </c>
      <c r="K64" s="1" t="s">
        <v>320</v>
      </c>
      <c r="L64" s="11" t="s">
        <v>265</v>
      </c>
      <c r="M64" s="2" t="s">
        <v>66</v>
      </c>
      <c r="N64" s="2" t="s">
        <v>266</v>
      </c>
      <c r="O64" s="2" t="s">
        <v>67</v>
      </c>
      <c r="P64" s="1" t="s">
        <v>68</v>
      </c>
      <c r="Q64" s="1" t="s">
        <v>68</v>
      </c>
      <c r="R64" s="1" t="s">
        <v>43</v>
      </c>
      <c r="S64" s="1" t="s">
        <v>321</v>
      </c>
      <c r="T64" s="1" t="s">
        <v>262</v>
      </c>
      <c r="U64" s="1" t="s">
        <v>70</v>
      </c>
      <c r="V64" s="1" t="s">
        <v>46</v>
      </c>
      <c r="W64" s="1" t="s">
        <v>47</v>
      </c>
      <c r="X64" s="1" t="s">
        <v>48</v>
      </c>
      <c r="Y64" s="1" t="s">
        <v>49</v>
      </c>
      <c r="Z64" s="1" t="s">
        <v>50</v>
      </c>
      <c r="AA64" s="12">
        <v>8.0</v>
      </c>
      <c r="AB64" s="12">
        <f t="shared" si="2"/>
        <v>0.008</v>
      </c>
      <c r="AC64" s="13" t="s">
        <v>51</v>
      </c>
      <c r="AD64" s="13" t="s">
        <v>319</v>
      </c>
      <c r="AE64" s="97" t="str">
        <v>EQ-0059</v>
      </c>
      <c r="AF64" s="98" t="str">
        <v>ip desk phone</v>
      </c>
      <c r="AG64" s="98" t="str">
        <v>CONDITIONAL_MATCH</v>
      </c>
      <c r="AH64" s="98" t="str">
        <v>Match model or supported analogue, operating state, room allocation and all conditions in F. Use D/E only.</v>
      </c>
    </row>
    <row r="65">
      <c r="A65" s="1" t="s">
        <v>317</v>
      </c>
      <c r="B65" s="1" t="s">
        <v>322</v>
      </c>
      <c r="C65" s="13" t="s">
        <v>35</v>
      </c>
      <c r="D65" s="14">
        <v>15.0</v>
      </c>
      <c r="E65" s="14">
        <v>0.0</v>
      </c>
      <c r="F65" s="13" t="s">
        <v>323</v>
      </c>
      <c r="G65" s="15">
        <v>15.0</v>
      </c>
      <c r="H65" s="10">
        <f t="shared" si="1"/>
        <v>0.015</v>
      </c>
      <c r="I65" s="1" t="s">
        <v>262</v>
      </c>
      <c r="J65" s="1" t="s">
        <v>263</v>
      </c>
      <c r="K65" s="1" t="s">
        <v>324</v>
      </c>
      <c r="L65" s="11" t="s">
        <v>265</v>
      </c>
      <c r="M65" s="2" t="s">
        <v>66</v>
      </c>
      <c r="N65" s="2" t="s">
        <v>266</v>
      </c>
      <c r="O65" s="2" t="s">
        <v>67</v>
      </c>
      <c r="P65" s="1" t="s">
        <v>68</v>
      </c>
      <c r="Q65" s="1" t="s">
        <v>68</v>
      </c>
      <c r="R65" s="1" t="s">
        <v>43</v>
      </c>
      <c r="S65" s="1" t="s">
        <v>325</v>
      </c>
      <c r="T65" s="1" t="s">
        <v>262</v>
      </c>
      <c r="U65" s="1" t="s">
        <v>70</v>
      </c>
      <c r="V65" s="1" t="s">
        <v>46</v>
      </c>
      <c r="W65" s="1" t="s">
        <v>47</v>
      </c>
      <c r="X65" s="1" t="s">
        <v>48</v>
      </c>
      <c r="Y65" s="1" t="s">
        <v>49</v>
      </c>
      <c r="Z65" s="1" t="s">
        <v>50</v>
      </c>
      <c r="AA65" s="12">
        <v>15.0</v>
      </c>
      <c r="AB65" s="12">
        <f t="shared" si="2"/>
        <v>0.015</v>
      </c>
      <c r="AC65" s="13" t="s">
        <v>51</v>
      </c>
      <c r="AD65" s="13" t="s">
        <v>323</v>
      </c>
      <c r="AE65" s="97" t="str">
        <v>EQ-0060</v>
      </c>
      <c r="AF65" s="98" t="str">
        <v>large-screen ip desk phone</v>
      </c>
      <c r="AG65" s="98" t="str">
        <v>CONDITIONAL_MATCH</v>
      </c>
      <c r="AH65" s="98" t="str">
        <v>Match model or supported analogue, operating state, room allocation and all conditions in F. Use D/E only.</v>
      </c>
    </row>
    <row r="66">
      <c r="A66" s="1" t="s">
        <v>85</v>
      </c>
      <c r="B66" s="1" t="s">
        <v>326</v>
      </c>
      <c r="C66" s="13" t="s">
        <v>35</v>
      </c>
      <c r="D66" s="14">
        <v>27.0</v>
      </c>
      <c r="E66" s="14">
        <v>0.0</v>
      </c>
      <c r="F66" s="13" t="s">
        <v>327</v>
      </c>
      <c r="G66" s="15">
        <v>27.0</v>
      </c>
      <c r="H66" s="10">
        <f t="shared" si="1"/>
        <v>0.027</v>
      </c>
      <c r="I66" s="1" t="s">
        <v>262</v>
      </c>
      <c r="J66" s="1" t="s">
        <v>263</v>
      </c>
      <c r="K66" s="1" t="s">
        <v>328</v>
      </c>
      <c r="L66" s="11" t="s">
        <v>265</v>
      </c>
      <c r="M66" s="2" t="s">
        <v>66</v>
      </c>
      <c r="N66" s="2" t="s">
        <v>266</v>
      </c>
      <c r="O66" s="2" t="s">
        <v>67</v>
      </c>
      <c r="P66" s="1" t="s">
        <v>68</v>
      </c>
      <c r="Q66" s="1" t="s">
        <v>68</v>
      </c>
      <c r="R66" s="1" t="s">
        <v>43</v>
      </c>
      <c r="S66" s="1" t="s">
        <v>329</v>
      </c>
      <c r="T66" s="1" t="s">
        <v>262</v>
      </c>
      <c r="U66" s="1" t="s">
        <v>70</v>
      </c>
      <c r="V66" s="1" t="s">
        <v>46</v>
      </c>
      <c r="W66" s="1" t="s">
        <v>47</v>
      </c>
      <c r="X66" s="1" t="s">
        <v>48</v>
      </c>
      <c r="Y66" s="1" t="s">
        <v>49</v>
      </c>
      <c r="Z66" s="1" t="s">
        <v>50</v>
      </c>
      <c r="AA66" s="12">
        <v>27.0</v>
      </c>
      <c r="AB66" s="12">
        <f t="shared" si="2"/>
        <v>0.027</v>
      </c>
      <c r="AC66" s="13" t="s">
        <v>51</v>
      </c>
      <c r="AD66" s="13" t="s">
        <v>327</v>
      </c>
      <c r="AE66" s="97" t="str">
        <v>EQ-0061</v>
      </c>
      <c r="AF66" s="98" t="str">
        <v>room booking / information display</v>
      </c>
      <c r="AG66" s="98" t="str">
        <v>CONDITIONAL_MATCH</v>
      </c>
      <c r="AH66" s="98" t="str">
        <v>Match model or supported analogue, operating state, room allocation and all conditions in F. Use D/E only.</v>
      </c>
    </row>
    <row r="67">
      <c r="A67" s="1" t="s">
        <v>100</v>
      </c>
      <c r="B67" s="1" t="s">
        <v>330</v>
      </c>
      <c r="C67" s="13" t="s">
        <v>87</v>
      </c>
      <c r="D67" s="14">
        <v>6.0</v>
      </c>
      <c r="E67" s="14">
        <v>0.0</v>
      </c>
      <c r="F67" s="13" t="s">
        <v>331</v>
      </c>
      <c r="G67" s="15">
        <v>6.0</v>
      </c>
      <c r="H67" s="10">
        <f t="shared" si="1"/>
        <v>0.006</v>
      </c>
      <c r="I67" s="1" t="s">
        <v>332</v>
      </c>
      <c r="J67" s="1" t="s">
        <v>333</v>
      </c>
      <c r="K67" s="1" t="s">
        <v>334</v>
      </c>
      <c r="L67" s="11" t="s">
        <v>335</v>
      </c>
      <c r="M67" s="2" t="s">
        <v>66</v>
      </c>
      <c r="N67" s="2" t="s">
        <v>42</v>
      </c>
      <c r="O67" s="2" t="s">
        <v>67</v>
      </c>
      <c r="P67" s="1" t="s">
        <v>68</v>
      </c>
      <c r="Q67" s="1" t="s">
        <v>68</v>
      </c>
      <c r="R67" s="1" t="s">
        <v>43</v>
      </c>
      <c r="S67" s="1" t="s">
        <v>336</v>
      </c>
      <c r="T67" s="1" t="s">
        <v>332</v>
      </c>
      <c r="U67" s="1" t="s">
        <v>70</v>
      </c>
      <c r="V67" s="1" t="s">
        <v>46</v>
      </c>
      <c r="W67" s="1" t="s">
        <v>47</v>
      </c>
      <c r="X67" s="1" t="s">
        <v>100</v>
      </c>
      <c r="Y67" s="1" t="s">
        <v>122</v>
      </c>
      <c r="Z67" s="1" t="s">
        <v>50</v>
      </c>
      <c r="AA67" s="12">
        <v>6.0</v>
      </c>
      <c r="AB67" s="12">
        <f t="shared" si="2"/>
        <v>0.006</v>
      </c>
      <c r="AC67" s="13" t="s">
        <v>51</v>
      </c>
      <c r="AD67" s="13" t="s">
        <v>331</v>
      </c>
      <c r="AE67" s="97" t="str">
        <v>EQ-0062</v>
      </c>
      <c r="AF67" s="98" t="str">
        <v>led bulkhead light</v>
      </c>
      <c r="AG67" s="98" t="str">
        <v>CONDITIONAL_MATCH</v>
      </c>
      <c r="AH67" s="98" t="str">
        <v>Match model or supported analogue, operating state, room allocation and all conditions in F. Use D/E only.</v>
      </c>
    </row>
    <row r="68">
      <c r="A68" s="1" t="s">
        <v>100</v>
      </c>
      <c r="B68" s="1" t="s">
        <v>337</v>
      </c>
      <c r="C68" s="13" t="s">
        <v>87</v>
      </c>
      <c r="D68" s="14">
        <v>17.0</v>
      </c>
      <c r="E68" s="14">
        <v>0.0</v>
      </c>
      <c r="F68" s="13" t="s">
        <v>338</v>
      </c>
      <c r="G68" s="15">
        <v>17.0</v>
      </c>
      <c r="H68" s="10">
        <f t="shared" si="1"/>
        <v>0.017</v>
      </c>
      <c r="I68" s="1" t="s">
        <v>332</v>
      </c>
      <c r="J68" s="1" t="s">
        <v>333</v>
      </c>
      <c r="K68" s="1" t="s">
        <v>339</v>
      </c>
      <c r="L68" s="11" t="s">
        <v>335</v>
      </c>
      <c r="M68" s="2" t="s">
        <v>66</v>
      </c>
      <c r="N68" s="2" t="s">
        <v>42</v>
      </c>
      <c r="O68" s="2" t="s">
        <v>67</v>
      </c>
      <c r="P68" s="1" t="s">
        <v>68</v>
      </c>
      <c r="Q68" s="1" t="s">
        <v>68</v>
      </c>
      <c r="R68" s="1" t="s">
        <v>43</v>
      </c>
      <c r="S68" s="1" t="s">
        <v>340</v>
      </c>
      <c r="T68" s="1" t="s">
        <v>332</v>
      </c>
      <c r="U68" s="1" t="s">
        <v>70</v>
      </c>
      <c r="V68" s="1" t="s">
        <v>46</v>
      </c>
      <c r="W68" s="1" t="s">
        <v>47</v>
      </c>
      <c r="X68" s="1" t="s">
        <v>100</v>
      </c>
      <c r="Y68" s="1" t="s">
        <v>122</v>
      </c>
      <c r="Z68" s="1" t="s">
        <v>50</v>
      </c>
      <c r="AA68" s="12">
        <v>17.0</v>
      </c>
      <c r="AB68" s="12">
        <f t="shared" si="2"/>
        <v>0.017</v>
      </c>
      <c r="AC68" s="13" t="s">
        <v>51</v>
      </c>
      <c r="AD68" s="13" t="s">
        <v>338</v>
      </c>
      <c r="AE68" s="97" t="str">
        <v>EQ-0063</v>
      </c>
      <c r="AF68" s="98" t="str">
        <v>led circular ceiling light</v>
      </c>
      <c r="AG68" s="98" t="str">
        <v>CONDITIONAL_MATCH</v>
      </c>
      <c r="AH68" s="98" t="str">
        <v>Match model or supported analogue, operating state, room allocation and all conditions in F. Use D/E only.</v>
      </c>
    </row>
    <row r="69">
      <c r="A69" s="1" t="s">
        <v>100</v>
      </c>
      <c r="B69" s="1" t="s">
        <v>341</v>
      </c>
      <c r="C69" s="13" t="s">
        <v>87</v>
      </c>
      <c r="D69" s="14">
        <v>18.0</v>
      </c>
      <c r="E69" s="14">
        <v>0.0</v>
      </c>
      <c r="F69" s="13" t="s">
        <v>342</v>
      </c>
      <c r="G69" s="15">
        <v>18.0</v>
      </c>
      <c r="H69" s="10">
        <f t="shared" si="1"/>
        <v>0.018</v>
      </c>
      <c r="I69" s="1" t="s">
        <v>332</v>
      </c>
      <c r="J69" s="1" t="s">
        <v>333</v>
      </c>
      <c r="K69" s="1" t="s">
        <v>343</v>
      </c>
      <c r="L69" s="11" t="s">
        <v>335</v>
      </c>
      <c r="M69" s="2" t="s">
        <v>66</v>
      </c>
      <c r="N69" s="2" t="s">
        <v>42</v>
      </c>
      <c r="O69" s="2" t="s">
        <v>67</v>
      </c>
      <c r="P69" s="1" t="s">
        <v>68</v>
      </c>
      <c r="Q69" s="1" t="s">
        <v>68</v>
      </c>
      <c r="R69" s="1" t="s">
        <v>43</v>
      </c>
      <c r="S69" s="1" t="s">
        <v>344</v>
      </c>
      <c r="T69" s="1" t="s">
        <v>332</v>
      </c>
      <c r="U69" s="1" t="s">
        <v>70</v>
      </c>
      <c r="V69" s="1" t="s">
        <v>46</v>
      </c>
      <c r="W69" s="1" t="s">
        <v>47</v>
      </c>
      <c r="X69" s="1" t="s">
        <v>48</v>
      </c>
      <c r="Y69" s="1" t="s">
        <v>49</v>
      </c>
      <c r="Z69" s="1" t="s">
        <v>50</v>
      </c>
      <c r="AA69" s="12">
        <v>18.0</v>
      </c>
      <c r="AB69" s="12">
        <f t="shared" si="2"/>
        <v>0.018</v>
      </c>
      <c r="AC69" s="13" t="s">
        <v>51</v>
      </c>
      <c r="AD69" s="13" t="s">
        <v>342</v>
      </c>
      <c r="AE69" s="97" t="str">
        <v>EQ-0064</v>
      </c>
      <c r="AF69" s="98" t="str">
        <v>led batten - 600 mm</v>
      </c>
      <c r="AG69" s="98" t="str">
        <v>CONDITIONAL_MATCH</v>
      </c>
      <c r="AH69" s="98" t="str">
        <v>Match model or supported analogue, operating state, room allocation and all conditions in F. Use D/E only.</v>
      </c>
    </row>
    <row r="70">
      <c r="A70" s="1" t="s">
        <v>100</v>
      </c>
      <c r="B70" s="1" t="s">
        <v>345</v>
      </c>
      <c r="C70" s="13" t="s">
        <v>87</v>
      </c>
      <c r="D70" s="14">
        <v>36.0</v>
      </c>
      <c r="E70" s="14">
        <v>0.0</v>
      </c>
      <c r="F70" s="13" t="s">
        <v>346</v>
      </c>
      <c r="G70" s="15">
        <v>36.0</v>
      </c>
      <c r="H70" s="10">
        <f t="shared" si="1"/>
        <v>0.036</v>
      </c>
      <c r="I70" s="1" t="s">
        <v>332</v>
      </c>
      <c r="J70" s="1" t="s">
        <v>333</v>
      </c>
      <c r="K70" s="1" t="s">
        <v>347</v>
      </c>
      <c r="L70" s="11" t="s">
        <v>335</v>
      </c>
      <c r="M70" s="2" t="s">
        <v>66</v>
      </c>
      <c r="N70" s="2" t="s">
        <v>42</v>
      </c>
      <c r="O70" s="2" t="s">
        <v>67</v>
      </c>
      <c r="P70" s="1" t="s">
        <v>68</v>
      </c>
      <c r="Q70" s="1" t="s">
        <v>68</v>
      </c>
      <c r="R70" s="1" t="s">
        <v>43</v>
      </c>
      <c r="S70" s="1" t="s">
        <v>348</v>
      </c>
      <c r="T70" s="1" t="s">
        <v>332</v>
      </c>
      <c r="U70" s="1" t="s">
        <v>70</v>
      </c>
      <c r="V70" s="1" t="s">
        <v>46</v>
      </c>
      <c r="W70" s="1" t="s">
        <v>47</v>
      </c>
      <c r="X70" s="1" t="s">
        <v>48</v>
      </c>
      <c r="Y70" s="1" t="s">
        <v>49</v>
      </c>
      <c r="Z70" s="1" t="s">
        <v>50</v>
      </c>
      <c r="AA70" s="12">
        <v>36.0</v>
      </c>
      <c r="AB70" s="12">
        <f t="shared" si="2"/>
        <v>0.036</v>
      </c>
      <c r="AC70" s="13" t="s">
        <v>51</v>
      </c>
      <c r="AD70" s="13" t="s">
        <v>346</v>
      </c>
      <c r="AE70" s="97" t="str">
        <v>EQ-0065</v>
      </c>
      <c r="AF70" s="98" t="str">
        <v>led batten - 1200 mm</v>
      </c>
      <c r="AG70" s="98" t="str">
        <v>CONDITIONAL_MATCH</v>
      </c>
      <c r="AH70" s="98" t="str">
        <v>Match model or supported analogue, operating state, room allocation and all conditions in F. Use D/E only.</v>
      </c>
    </row>
    <row r="71">
      <c r="A71" s="1" t="s">
        <v>100</v>
      </c>
      <c r="B71" s="1" t="s">
        <v>349</v>
      </c>
      <c r="C71" s="13" t="s">
        <v>87</v>
      </c>
      <c r="D71" s="14">
        <v>18.0</v>
      </c>
      <c r="E71" s="14">
        <v>0.0</v>
      </c>
      <c r="F71" s="13" t="s">
        <v>350</v>
      </c>
      <c r="G71" s="15">
        <v>18.0</v>
      </c>
      <c r="H71" s="10">
        <f t="shared" si="1"/>
        <v>0.018</v>
      </c>
      <c r="I71" s="1" t="s">
        <v>332</v>
      </c>
      <c r="J71" s="1" t="s">
        <v>333</v>
      </c>
      <c r="K71" s="1" t="s">
        <v>351</v>
      </c>
      <c r="L71" s="11" t="s">
        <v>335</v>
      </c>
      <c r="M71" s="2" t="s">
        <v>66</v>
      </c>
      <c r="N71" s="2" t="s">
        <v>42</v>
      </c>
      <c r="O71" s="2" t="s">
        <v>67</v>
      </c>
      <c r="P71" s="1" t="s">
        <v>68</v>
      </c>
      <c r="Q71" s="1" t="s">
        <v>68</v>
      </c>
      <c r="R71" s="1" t="s">
        <v>43</v>
      </c>
      <c r="S71" s="1" t="s">
        <v>352</v>
      </c>
      <c r="T71" s="1" t="s">
        <v>332</v>
      </c>
      <c r="U71" s="1" t="s">
        <v>70</v>
      </c>
      <c r="V71" s="1" t="s">
        <v>46</v>
      </c>
      <c r="W71" s="1" t="s">
        <v>47</v>
      </c>
      <c r="X71" s="1" t="s">
        <v>48</v>
      </c>
      <c r="Y71" s="1" t="s">
        <v>49</v>
      </c>
      <c r="Z71" s="1" t="s">
        <v>50</v>
      </c>
      <c r="AA71" s="12">
        <v>18.0</v>
      </c>
      <c r="AB71" s="12">
        <f t="shared" si="2"/>
        <v>0.018</v>
      </c>
      <c r="AC71" s="13" t="s">
        <v>51</v>
      </c>
      <c r="AD71" s="13" t="s">
        <v>350</v>
      </c>
      <c r="AE71" s="97" t="str">
        <v>EQ-0066</v>
      </c>
      <c r="AF71" s="98" t="str">
        <v>weatherproof led batten - 600 mm</v>
      </c>
      <c r="AG71" s="98" t="str">
        <v>CONDITIONAL_MATCH</v>
      </c>
      <c r="AH71" s="98" t="str">
        <v>Match model or supported analogue, operating state, room allocation and all conditions in F. Use D/E only.</v>
      </c>
    </row>
    <row r="72">
      <c r="A72" s="1" t="s">
        <v>100</v>
      </c>
      <c r="B72" s="1" t="s">
        <v>353</v>
      </c>
      <c r="C72" s="13" t="s">
        <v>87</v>
      </c>
      <c r="D72" s="14">
        <v>36.0</v>
      </c>
      <c r="E72" s="14">
        <v>0.0</v>
      </c>
      <c r="F72" s="13" t="s">
        <v>354</v>
      </c>
      <c r="G72" s="15">
        <v>36.0</v>
      </c>
      <c r="H72" s="10">
        <f t="shared" si="1"/>
        <v>0.036</v>
      </c>
      <c r="I72" s="1" t="s">
        <v>332</v>
      </c>
      <c r="J72" s="1" t="s">
        <v>333</v>
      </c>
      <c r="K72" s="1" t="s">
        <v>355</v>
      </c>
      <c r="L72" s="11" t="s">
        <v>335</v>
      </c>
      <c r="M72" s="2" t="s">
        <v>66</v>
      </c>
      <c r="N72" s="2" t="s">
        <v>42</v>
      </c>
      <c r="O72" s="2" t="s">
        <v>67</v>
      </c>
      <c r="P72" s="1" t="s">
        <v>68</v>
      </c>
      <c r="Q72" s="1" t="s">
        <v>68</v>
      </c>
      <c r="R72" s="1" t="s">
        <v>43</v>
      </c>
      <c r="S72" s="1" t="s">
        <v>356</v>
      </c>
      <c r="T72" s="1" t="s">
        <v>332</v>
      </c>
      <c r="U72" s="1" t="s">
        <v>70</v>
      </c>
      <c r="V72" s="1" t="s">
        <v>46</v>
      </c>
      <c r="W72" s="1" t="s">
        <v>47</v>
      </c>
      <c r="X72" s="1" t="s">
        <v>48</v>
      </c>
      <c r="Y72" s="1" t="s">
        <v>49</v>
      </c>
      <c r="Z72" s="1" t="s">
        <v>50</v>
      </c>
      <c r="AA72" s="12">
        <v>36.0</v>
      </c>
      <c r="AB72" s="12">
        <f t="shared" si="2"/>
        <v>0.036</v>
      </c>
      <c r="AC72" s="13" t="s">
        <v>51</v>
      </c>
      <c r="AD72" s="13" t="s">
        <v>354</v>
      </c>
      <c r="AE72" s="97" t="str">
        <v>EQ-0067</v>
      </c>
      <c r="AF72" s="98" t="str">
        <v>weatherproof led batten - 1200 mm</v>
      </c>
      <c r="AG72" s="98" t="str">
        <v>CONDITIONAL_MATCH</v>
      </c>
      <c r="AH72" s="98" t="str">
        <v>Match model or supported analogue, operating state, room allocation and all conditions in F. Use D/E only.</v>
      </c>
    </row>
    <row r="73">
      <c r="A73" s="1" t="s">
        <v>100</v>
      </c>
      <c r="B73" s="1" t="s">
        <v>357</v>
      </c>
      <c r="C73" s="13" t="s">
        <v>87</v>
      </c>
      <c r="D73" s="14">
        <v>40.0</v>
      </c>
      <c r="E73" s="14">
        <v>0.0</v>
      </c>
      <c r="F73" s="13" t="s">
        <v>358</v>
      </c>
      <c r="G73" s="15">
        <v>40.0</v>
      </c>
      <c r="H73" s="10">
        <f t="shared" si="1"/>
        <v>0.04</v>
      </c>
      <c r="I73" s="1" t="s">
        <v>332</v>
      </c>
      <c r="J73" s="1" t="s">
        <v>333</v>
      </c>
      <c r="K73" s="1" t="s">
        <v>359</v>
      </c>
      <c r="L73" s="11" t="s">
        <v>360</v>
      </c>
      <c r="M73" s="2" t="s">
        <v>66</v>
      </c>
      <c r="N73" s="2" t="s">
        <v>42</v>
      </c>
      <c r="O73" s="2" t="s">
        <v>67</v>
      </c>
      <c r="P73" s="1" t="s">
        <v>68</v>
      </c>
      <c r="Q73" s="1" t="s">
        <v>68</v>
      </c>
      <c r="R73" s="1" t="s">
        <v>43</v>
      </c>
      <c r="S73" s="1" t="s">
        <v>361</v>
      </c>
      <c r="T73" s="1" t="s">
        <v>332</v>
      </c>
      <c r="U73" s="1" t="s">
        <v>70</v>
      </c>
      <c r="V73" s="1" t="s">
        <v>46</v>
      </c>
      <c r="W73" s="1" t="s">
        <v>47</v>
      </c>
      <c r="X73" s="1" t="s">
        <v>48</v>
      </c>
      <c r="Y73" s="1" t="s">
        <v>49</v>
      </c>
      <c r="Z73" s="1" t="s">
        <v>50</v>
      </c>
      <c r="AA73" s="12">
        <v>40.0</v>
      </c>
      <c r="AB73" s="12">
        <f t="shared" si="2"/>
        <v>0.04</v>
      </c>
      <c r="AC73" s="13" t="s">
        <v>51</v>
      </c>
      <c r="AD73" s="13" t="s">
        <v>358</v>
      </c>
      <c r="AE73" s="97" t="str">
        <v>EQ-0068</v>
      </c>
      <c r="AF73" s="98" t="str">
        <v>architectural led batten</v>
      </c>
      <c r="AG73" s="98" t="str">
        <v>CONDITIONAL_MATCH</v>
      </c>
      <c r="AH73" s="98" t="str">
        <v>Match model or supported analogue, operating state, room allocation and all conditions in F. Use D/E only.</v>
      </c>
    </row>
    <row r="74">
      <c r="A74" s="1" t="s">
        <v>127</v>
      </c>
      <c r="B74" s="1" t="s">
        <v>362</v>
      </c>
      <c r="C74" s="13" t="s">
        <v>87</v>
      </c>
      <c r="D74" s="14">
        <v>14.0</v>
      </c>
      <c r="E74" s="14">
        <v>0.0</v>
      </c>
      <c r="F74" s="13" t="s">
        <v>363</v>
      </c>
      <c r="G74" s="15">
        <v>14.0</v>
      </c>
      <c r="H74" s="10">
        <f t="shared" si="1"/>
        <v>0.014</v>
      </c>
      <c r="I74" s="1" t="s">
        <v>364</v>
      </c>
      <c r="J74" s="1" t="s">
        <v>365</v>
      </c>
      <c r="K74" s="1" t="s">
        <v>366</v>
      </c>
      <c r="L74" s="11" t="s">
        <v>367</v>
      </c>
      <c r="M74" s="2" t="s">
        <v>66</v>
      </c>
      <c r="N74" s="2" t="s">
        <v>42</v>
      </c>
      <c r="O74" s="2" t="s">
        <v>67</v>
      </c>
      <c r="P74" s="1" t="s">
        <v>68</v>
      </c>
      <c r="Q74" s="1" t="s">
        <v>68</v>
      </c>
      <c r="R74" s="1" t="s">
        <v>134</v>
      </c>
      <c r="S74" s="1" t="s">
        <v>368</v>
      </c>
      <c r="T74" s="1" t="s">
        <v>364</v>
      </c>
      <c r="U74" s="1" t="s">
        <v>70</v>
      </c>
      <c r="V74" s="1" t="s">
        <v>46</v>
      </c>
      <c r="W74" s="1" t="s">
        <v>47</v>
      </c>
      <c r="X74" s="1" t="s">
        <v>48</v>
      </c>
      <c r="Y74" s="1" t="s">
        <v>49</v>
      </c>
      <c r="Z74" s="1" t="s">
        <v>50</v>
      </c>
      <c r="AA74" s="12">
        <v>14.0</v>
      </c>
      <c r="AB74" s="12">
        <f t="shared" si="2"/>
        <v>0.014</v>
      </c>
      <c r="AC74" s="13" t="s">
        <v>51</v>
      </c>
      <c r="AD74" s="13" t="s">
        <v>363</v>
      </c>
      <c r="AE74" s="97" t="str">
        <v>EQ-0069</v>
      </c>
      <c r="AF74" s="98" t="str">
        <v>compact document scanner</v>
      </c>
      <c r="AG74" s="98" t="str">
        <v>CONDITIONAL_MATCH</v>
      </c>
      <c r="AH74" s="98" t="str">
        <v>Match model or supported analogue, operating state, room allocation and all conditions in F. Use D/E only.</v>
      </c>
    </row>
    <row r="75">
      <c r="A75" s="1" t="s">
        <v>127</v>
      </c>
      <c r="B75" s="1" t="s">
        <v>369</v>
      </c>
      <c r="C75" s="13" t="s">
        <v>87</v>
      </c>
      <c r="D75" s="14">
        <v>5.0</v>
      </c>
      <c r="E75" s="14">
        <v>0.0</v>
      </c>
      <c r="F75" s="13" t="s">
        <v>370</v>
      </c>
      <c r="G75" s="15">
        <v>5.0</v>
      </c>
      <c r="H75" s="10">
        <f t="shared" si="1"/>
        <v>0.005</v>
      </c>
      <c r="I75" s="1" t="s">
        <v>371</v>
      </c>
      <c r="J75" s="1" t="s">
        <v>372</v>
      </c>
      <c r="K75" s="1" t="s">
        <v>373</v>
      </c>
      <c r="L75" s="11" t="s">
        <v>374</v>
      </c>
      <c r="M75" s="2" t="s">
        <v>66</v>
      </c>
      <c r="N75" s="2" t="s">
        <v>42</v>
      </c>
      <c r="O75" s="2" t="s">
        <v>67</v>
      </c>
      <c r="P75" s="1" t="s">
        <v>68</v>
      </c>
      <c r="Q75" s="1" t="s">
        <v>68</v>
      </c>
      <c r="R75" s="1" t="s">
        <v>134</v>
      </c>
      <c r="S75" s="1" t="s">
        <v>375</v>
      </c>
      <c r="T75" s="1" t="s">
        <v>371</v>
      </c>
      <c r="U75" s="1" t="s">
        <v>70</v>
      </c>
      <c r="V75" s="1" t="s">
        <v>46</v>
      </c>
      <c r="W75" s="1" t="s">
        <v>47</v>
      </c>
      <c r="X75" s="1" t="s">
        <v>48</v>
      </c>
      <c r="Y75" s="1" t="s">
        <v>49</v>
      </c>
      <c r="Z75" s="1" t="s">
        <v>50</v>
      </c>
      <c r="AA75" s="12">
        <v>5.0</v>
      </c>
      <c r="AB75" s="12">
        <f t="shared" si="2"/>
        <v>0.005</v>
      </c>
      <c r="AC75" s="13" t="s">
        <v>51</v>
      </c>
      <c r="AD75" s="13" t="s">
        <v>370</v>
      </c>
      <c r="AE75" s="97" t="str">
        <v>EQ-0070</v>
      </c>
      <c r="AF75" s="98" t="str">
        <v>portable document scanner</v>
      </c>
      <c r="AG75" s="98" t="str">
        <v>CONDITIONAL_MATCH</v>
      </c>
      <c r="AH75" s="98" t="str">
        <v>Match model or supported analogue, operating state, room allocation and all conditions in F. Use D/E only.</v>
      </c>
    </row>
    <row r="76">
      <c r="A76" s="1" t="s">
        <v>127</v>
      </c>
      <c r="B76" s="1" t="s">
        <v>376</v>
      </c>
      <c r="C76" s="13" t="s">
        <v>87</v>
      </c>
      <c r="D76" s="14">
        <v>25.0</v>
      </c>
      <c r="E76" s="14">
        <v>0.0</v>
      </c>
      <c r="F76" s="13" t="s">
        <v>377</v>
      </c>
      <c r="G76" s="15">
        <v>25.0</v>
      </c>
      <c r="H76" s="10">
        <f t="shared" si="1"/>
        <v>0.025</v>
      </c>
      <c r="I76" s="1" t="s">
        <v>378</v>
      </c>
      <c r="J76" s="1" t="s">
        <v>379</v>
      </c>
      <c r="K76" s="1" t="s">
        <v>380</v>
      </c>
      <c r="L76" s="11" t="s">
        <v>381</v>
      </c>
      <c r="M76" s="2" t="s">
        <v>66</v>
      </c>
      <c r="N76" s="2" t="s">
        <v>42</v>
      </c>
      <c r="O76" s="2" t="s">
        <v>67</v>
      </c>
      <c r="P76" s="1" t="s">
        <v>68</v>
      </c>
      <c r="Q76" s="1" t="s">
        <v>68</v>
      </c>
      <c r="R76" s="1" t="s">
        <v>134</v>
      </c>
      <c r="S76" s="1" t="s">
        <v>382</v>
      </c>
      <c r="T76" s="1" t="s">
        <v>378</v>
      </c>
      <c r="U76" s="1" t="s">
        <v>70</v>
      </c>
      <c r="V76" s="1" t="s">
        <v>46</v>
      </c>
      <c r="W76" s="1" t="s">
        <v>47</v>
      </c>
      <c r="X76" s="1" t="s">
        <v>48</v>
      </c>
      <c r="Y76" s="1" t="s">
        <v>49</v>
      </c>
      <c r="Z76" s="1" t="s">
        <v>50</v>
      </c>
      <c r="AA76" s="12">
        <v>25.0</v>
      </c>
      <c r="AB76" s="12">
        <f t="shared" si="2"/>
        <v>0.025</v>
      </c>
      <c r="AC76" s="13" t="s">
        <v>51</v>
      </c>
      <c r="AD76" s="13" t="s">
        <v>377</v>
      </c>
      <c r="AE76" s="97" t="str">
        <v>EQ-0071</v>
      </c>
      <c r="AF76" s="98" t="str">
        <v>a3 inkjet multifunction printer</v>
      </c>
      <c r="AG76" s="98" t="str">
        <v>CONDITIONAL_MATCH</v>
      </c>
      <c r="AH76" s="98" t="str">
        <v>Match model or supported analogue, operating state, room allocation and all conditions in F. Use D/E only.</v>
      </c>
    </row>
    <row r="77">
      <c r="A77" s="1" t="s">
        <v>85</v>
      </c>
      <c r="B77" s="1" t="s">
        <v>383</v>
      </c>
      <c r="C77" s="13" t="s">
        <v>87</v>
      </c>
      <c r="D77" s="14">
        <v>110.0</v>
      </c>
      <c r="E77" s="14">
        <v>0.0</v>
      </c>
      <c r="F77" s="13" t="s">
        <v>384</v>
      </c>
      <c r="G77" s="15">
        <v>110.0</v>
      </c>
      <c r="H77" s="10">
        <f t="shared" si="1"/>
        <v>0.11</v>
      </c>
      <c r="I77" s="1" t="s">
        <v>385</v>
      </c>
      <c r="J77" s="1" t="s">
        <v>386</v>
      </c>
      <c r="K77" s="1" t="s">
        <v>387</v>
      </c>
      <c r="L77" s="11" t="s">
        <v>388</v>
      </c>
      <c r="M77" s="2" t="s">
        <v>66</v>
      </c>
      <c r="N77" s="2" t="s">
        <v>42</v>
      </c>
      <c r="O77" s="2" t="s">
        <v>67</v>
      </c>
      <c r="P77" s="1" t="s">
        <v>68</v>
      </c>
      <c r="Q77" s="1" t="s">
        <v>68</v>
      </c>
      <c r="R77" s="1" t="s">
        <v>43</v>
      </c>
      <c r="S77" s="1" t="s">
        <v>389</v>
      </c>
      <c r="T77" s="1" t="s">
        <v>385</v>
      </c>
      <c r="U77" s="1" t="s">
        <v>70</v>
      </c>
      <c r="V77" s="1" t="s">
        <v>46</v>
      </c>
      <c r="W77" s="1" t="s">
        <v>47</v>
      </c>
      <c r="X77" s="1" t="s">
        <v>48</v>
      </c>
      <c r="Y77" s="1" t="s">
        <v>49</v>
      </c>
      <c r="Z77" s="1" t="s">
        <v>50</v>
      </c>
      <c r="AA77" s="12">
        <v>110.0</v>
      </c>
      <c r="AB77" s="12">
        <f t="shared" si="2"/>
        <v>0.11</v>
      </c>
      <c r="AC77" s="13" t="s">
        <v>51</v>
      </c>
      <c r="AD77" s="13" t="s">
        <v>384</v>
      </c>
      <c r="AE77" s="97" t="str">
        <v>EQ-0072</v>
      </c>
      <c r="AF77" s="98" t="str">
        <v>43-inch commercial tv / signage</v>
      </c>
      <c r="AG77" s="98" t="str">
        <v>CONDITIONAL_MATCH</v>
      </c>
      <c r="AH77" s="98" t="str">
        <v>Match model or supported analogue, operating state, room allocation and all conditions in F. Use D/E only.</v>
      </c>
    </row>
    <row r="78">
      <c r="A78" s="1" t="s">
        <v>390</v>
      </c>
      <c r="B78" s="1" t="s">
        <v>391</v>
      </c>
      <c r="C78" s="13" t="s">
        <v>35</v>
      </c>
      <c r="D78" s="14">
        <v>29.0</v>
      </c>
      <c r="E78" s="14">
        <v>0.0</v>
      </c>
      <c r="F78" s="13" t="s">
        <v>392</v>
      </c>
      <c r="G78" s="15">
        <v>29.0</v>
      </c>
      <c r="H78" s="10">
        <f t="shared" si="1"/>
        <v>0.029</v>
      </c>
      <c r="I78" s="1" t="s">
        <v>393</v>
      </c>
      <c r="J78" s="1" t="s">
        <v>394</v>
      </c>
      <c r="K78" s="1" t="s">
        <v>395</v>
      </c>
      <c r="L78" s="11" t="s">
        <v>396</v>
      </c>
      <c r="M78" s="2" t="s">
        <v>66</v>
      </c>
      <c r="N78" s="2" t="s">
        <v>42</v>
      </c>
      <c r="O78" s="2" t="s">
        <v>67</v>
      </c>
      <c r="P78" s="1" t="s">
        <v>68</v>
      </c>
      <c r="Q78" s="1" t="s">
        <v>68</v>
      </c>
      <c r="R78" s="1" t="s">
        <v>43</v>
      </c>
      <c r="S78" s="1" t="s">
        <v>397</v>
      </c>
      <c r="T78" s="1" t="s">
        <v>393</v>
      </c>
      <c r="U78" s="1" t="s">
        <v>70</v>
      </c>
      <c r="V78" s="1" t="s">
        <v>46</v>
      </c>
      <c r="W78" s="1" t="s">
        <v>47</v>
      </c>
      <c r="X78" s="1" t="s">
        <v>398</v>
      </c>
      <c r="Y78" s="1" t="s">
        <v>399</v>
      </c>
      <c r="Z78" s="1" t="s">
        <v>50</v>
      </c>
      <c r="AA78" s="12">
        <v>29.0</v>
      </c>
      <c r="AB78" s="12">
        <f t="shared" si="2"/>
        <v>0.029</v>
      </c>
      <c r="AC78" s="13" t="s">
        <v>51</v>
      </c>
      <c r="AD78" s="13" t="s">
        <v>392</v>
      </c>
      <c r="AE78" s="97" t="str">
        <v>EQ-0073</v>
      </c>
      <c r="AF78" s="98" t="str">
        <v>1500 va desktop ups - losses only</v>
      </c>
      <c r="AG78" s="98" t="str">
        <v>CONDITIONAL_MATCH</v>
      </c>
      <c r="AH78" s="98" t="str">
        <v>Match model or supported analogue, operating state, room allocation and all conditions in F. Use D/E only.</v>
      </c>
    </row>
    <row r="79">
      <c r="A79" s="1" t="s">
        <v>390</v>
      </c>
      <c r="B79" s="1" t="s">
        <v>400</v>
      </c>
      <c r="C79" s="13" t="s">
        <v>87</v>
      </c>
      <c r="D79" s="14">
        <v>560.0</v>
      </c>
      <c r="E79" s="14">
        <v>0.0</v>
      </c>
      <c r="F79" s="13" t="s">
        <v>401</v>
      </c>
      <c r="G79" s="15">
        <v>560.0</v>
      </c>
      <c r="H79" s="10">
        <f t="shared" si="1"/>
        <v>0.56</v>
      </c>
      <c r="I79" s="1" t="s">
        <v>402</v>
      </c>
      <c r="J79" s="1" t="s">
        <v>403</v>
      </c>
      <c r="K79" s="1" t="s">
        <v>404</v>
      </c>
      <c r="L79" s="11" t="s">
        <v>405</v>
      </c>
      <c r="M79" s="2" t="s">
        <v>66</v>
      </c>
      <c r="N79" s="2" t="s">
        <v>42</v>
      </c>
      <c r="O79" s="2" t="s">
        <v>67</v>
      </c>
      <c r="P79" s="1" t="s">
        <v>68</v>
      </c>
      <c r="Q79" s="1" t="s">
        <v>68</v>
      </c>
      <c r="R79" s="1" t="s">
        <v>43</v>
      </c>
      <c r="S79" s="1" t="s">
        <v>406</v>
      </c>
      <c r="T79" s="1" t="s">
        <v>402</v>
      </c>
      <c r="U79" s="1" t="s">
        <v>70</v>
      </c>
      <c r="V79" s="1" t="s">
        <v>46</v>
      </c>
      <c r="W79" s="1" t="s">
        <v>47</v>
      </c>
      <c r="X79" s="1" t="s">
        <v>398</v>
      </c>
      <c r="Y79" s="1" t="s">
        <v>399</v>
      </c>
      <c r="Z79" s="1" t="s">
        <v>50</v>
      </c>
      <c r="AA79" s="12">
        <v>560.0</v>
      </c>
      <c r="AB79" s="12">
        <f t="shared" si="2"/>
        <v>0.56</v>
      </c>
      <c r="AC79" s="13" t="s">
        <v>51</v>
      </c>
      <c r="AD79" s="13" t="s">
        <v>401</v>
      </c>
      <c r="AE79" s="97" t="str">
        <v>EQ-0074</v>
      </c>
      <c r="AF79" s="98" t="str">
        <v>50 kw modular ups - losses only</v>
      </c>
      <c r="AG79" s="98" t="str">
        <v>CONDITIONAL_MATCH</v>
      </c>
      <c r="AH79" s="98" t="str">
        <v>Match model or supported analogue, operating state, room allocation and all conditions in F. Use D/E only.</v>
      </c>
    </row>
    <row r="80">
      <c r="A80" s="1" t="s">
        <v>407</v>
      </c>
      <c r="B80" s="1" t="s">
        <v>408</v>
      </c>
      <c r="C80" s="7" t="s">
        <v>35</v>
      </c>
      <c r="D80" s="8">
        <v>700.0</v>
      </c>
      <c r="E80" s="8">
        <v>0.0</v>
      </c>
      <c r="F80" s="7" t="s">
        <v>409</v>
      </c>
      <c r="G80" s="15">
        <v>1200.0</v>
      </c>
      <c r="H80" s="10">
        <f t="shared" si="1"/>
        <v>1.2</v>
      </c>
      <c r="I80" s="1" t="s">
        <v>410</v>
      </c>
      <c r="J80" s="1" t="s">
        <v>411</v>
      </c>
      <c r="K80" s="1" t="s">
        <v>412</v>
      </c>
      <c r="L80" s="11" t="s">
        <v>413</v>
      </c>
      <c r="M80" s="1" t="s">
        <v>414</v>
      </c>
      <c r="N80" s="2" t="s">
        <v>42</v>
      </c>
      <c r="O80" s="1">
        <v>700.0</v>
      </c>
      <c r="P80" s="1">
        <v>700.0</v>
      </c>
      <c r="Q80" s="1">
        <v>0.0</v>
      </c>
      <c r="R80" s="1" t="s">
        <v>43</v>
      </c>
      <c r="S80" s="1" t="s">
        <v>415</v>
      </c>
      <c r="T80" s="1" t="s">
        <v>410</v>
      </c>
      <c r="U80" s="1" t="s">
        <v>416</v>
      </c>
      <c r="V80" s="1" t="s">
        <v>46</v>
      </c>
      <c r="W80" s="1" t="s">
        <v>47</v>
      </c>
      <c r="X80" s="1" t="s">
        <v>48</v>
      </c>
      <c r="Y80" s="1" t="s">
        <v>49</v>
      </c>
      <c r="Z80" s="1" t="s">
        <v>50</v>
      </c>
      <c r="AA80" s="12">
        <v>700.0</v>
      </c>
      <c r="AB80" s="12">
        <f t="shared" si="2"/>
        <v>0.7</v>
      </c>
      <c r="AC80" s="13" t="s">
        <v>51</v>
      </c>
      <c r="AD80" s="13" t="s">
        <v>409</v>
      </c>
      <c r="AE80" s="97" t="str">
        <v>EQ-0075</v>
      </c>
      <c r="AF80" s="98" t="str">
        <v>corded vacuum cleaner</v>
      </c>
      <c r="AG80" s="98" t="str">
        <v>CONDITIONAL_MATCH</v>
      </c>
      <c r="AH80" s="98" t="str">
        <v>Match model or supported analogue, operating state, room allocation and all conditions in F. Use D/E only.</v>
      </c>
    </row>
    <row r="81">
      <c r="A81" s="1" t="s">
        <v>417</v>
      </c>
      <c r="B81" s="1" t="s">
        <v>418</v>
      </c>
      <c r="C81" s="7" t="s">
        <v>35</v>
      </c>
      <c r="D81" s="8">
        <v>70.0</v>
      </c>
      <c r="E81" s="8">
        <v>0.0</v>
      </c>
      <c r="F81" s="7" t="s">
        <v>419</v>
      </c>
      <c r="G81" s="15">
        <v>150.0</v>
      </c>
      <c r="H81" s="10">
        <f t="shared" si="1"/>
        <v>0.15</v>
      </c>
      <c r="I81" s="1" t="s">
        <v>420</v>
      </c>
      <c r="J81" s="1" t="s">
        <v>421</v>
      </c>
      <c r="K81" s="1" t="s">
        <v>422</v>
      </c>
      <c r="L81" s="11" t="s">
        <v>423</v>
      </c>
      <c r="M81" s="1" t="s">
        <v>414</v>
      </c>
      <c r="N81" s="2" t="s">
        <v>42</v>
      </c>
      <c r="O81" s="1">
        <v>70.0</v>
      </c>
      <c r="P81" s="1">
        <v>70.0</v>
      </c>
      <c r="Q81" s="1">
        <v>0.0</v>
      </c>
      <c r="R81" s="1" t="s">
        <v>43</v>
      </c>
      <c r="S81" s="1" t="s">
        <v>424</v>
      </c>
      <c r="T81" s="1" t="s">
        <v>420</v>
      </c>
      <c r="U81" s="1" t="s">
        <v>416</v>
      </c>
      <c r="V81" s="1" t="s">
        <v>46</v>
      </c>
      <c r="W81" s="1" t="s">
        <v>47</v>
      </c>
      <c r="X81" s="1" t="s">
        <v>48</v>
      </c>
      <c r="Y81" s="1" t="s">
        <v>49</v>
      </c>
      <c r="Z81" s="1" t="s">
        <v>50</v>
      </c>
      <c r="AA81" s="12">
        <v>70.0</v>
      </c>
      <c r="AB81" s="12">
        <f t="shared" si="2"/>
        <v>0.07</v>
      </c>
      <c r="AC81" s="13" t="s">
        <v>51</v>
      </c>
      <c r="AD81" s="13" t="s">
        <v>419</v>
      </c>
      <c r="AE81" s="97" t="str">
        <v>EQ-0076</v>
      </c>
      <c r="AF81" s="98" t="str">
        <v>stereo system</v>
      </c>
      <c r="AG81" s="98" t="str">
        <v>CONDITIONAL_MATCH</v>
      </c>
      <c r="AH81" s="98" t="str">
        <v>Match model or supported analogue, operating state, room allocation and all conditions in F. Use D/E only.</v>
      </c>
    </row>
    <row r="82">
      <c r="A82" s="1" t="s">
        <v>417</v>
      </c>
      <c r="B82" s="1" t="s">
        <v>425</v>
      </c>
      <c r="C82" s="13" t="s">
        <v>87</v>
      </c>
      <c r="D82" s="14">
        <v>25.0</v>
      </c>
      <c r="E82" s="14">
        <v>0.0</v>
      </c>
      <c r="F82" s="7" t="s">
        <v>426</v>
      </c>
      <c r="G82" s="15">
        <v>25.0</v>
      </c>
      <c r="H82" s="10">
        <f t="shared" si="1"/>
        <v>0.025</v>
      </c>
      <c r="I82" s="1" t="s">
        <v>427</v>
      </c>
      <c r="J82" s="1" t="s">
        <v>428</v>
      </c>
      <c r="K82" s="1" t="s">
        <v>429</v>
      </c>
      <c r="L82" s="11" t="s">
        <v>430</v>
      </c>
      <c r="M82" s="2" t="s">
        <v>66</v>
      </c>
      <c r="N82" s="2" t="s">
        <v>42</v>
      </c>
      <c r="O82" s="2" t="s">
        <v>67</v>
      </c>
      <c r="P82" s="1" t="s">
        <v>68</v>
      </c>
      <c r="Q82" s="1" t="s">
        <v>68</v>
      </c>
      <c r="R82" s="1" t="s">
        <v>43</v>
      </c>
      <c r="S82" s="1" t="s">
        <v>69</v>
      </c>
      <c r="T82" s="1" t="s">
        <v>427</v>
      </c>
      <c r="U82" s="1" t="s">
        <v>70</v>
      </c>
      <c r="V82" s="1" t="s">
        <v>46</v>
      </c>
      <c r="W82" s="1" t="s">
        <v>47</v>
      </c>
      <c r="X82" s="1" t="s">
        <v>48</v>
      </c>
      <c r="Y82" s="1" t="s">
        <v>49</v>
      </c>
      <c r="Z82" s="1" t="s">
        <v>50</v>
      </c>
      <c r="AA82" s="12">
        <v>25.0</v>
      </c>
      <c r="AB82" s="12">
        <f t="shared" si="2"/>
        <v>0.025</v>
      </c>
      <c r="AC82" s="13" t="s">
        <v>51</v>
      </c>
      <c r="AD82" s="13" t="s">
        <v>426</v>
      </c>
      <c r="AE82" s="97" t="str">
        <v>EQ-0077</v>
      </c>
      <c r="AF82" s="98" t="str">
        <v>dvd player</v>
      </c>
      <c r="AG82" s="98" t="str">
        <v>CONDITIONAL_MATCH</v>
      </c>
      <c r="AH82" s="98" t="str">
        <v>Match model or supported analogue, operating state, room allocation and all conditions in F. Use D/E only.</v>
      </c>
    </row>
    <row r="83">
      <c r="A83" s="1" t="s">
        <v>431</v>
      </c>
      <c r="B83" s="1" t="s">
        <v>432</v>
      </c>
      <c r="C83" s="7" t="s">
        <v>35</v>
      </c>
      <c r="D83" s="8">
        <v>1200.0</v>
      </c>
      <c r="E83" s="8">
        <v>0.0</v>
      </c>
      <c r="F83" s="7" t="s">
        <v>433</v>
      </c>
      <c r="G83" s="15">
        <v>1400.0</v>
      </c>
      <c r="H83" s="10">
        <f t="shared" si="1"/>
        <v>1.4</v>
      </c>
      <c r="I83" s="1" t="s">
        <v>434</v>
      </c>
      <c r="J83" s="1" t="s">
        <v>435</v>
      </c>
      <c r="K83" s="1" t="s">
        <v>436</v>
      </c>
      <c r="L83" s="11" t="s">
        <v>437</v>
      </c>
      <c r="M83" s="1" t="s">
        <v>414</v>
      </c>
      <c r="N83" s="2" t="s">
        <v>42</v>
      </c>
      <c r="O83" s="1">
        <v>1200.0</v>
      </c>
      <c r="P83" s="1">
        <v>1200.0</v>
      </c>
      <c r="Q83" s="1">
        <v>0.0</v>
      </c>
      <c r="R83" s="1" t="s">
        <v>438</v>
      </c>
      <c r="S83" s="1" t="s">
        <v>439</v>
      </c>
      <c r="T83" s="1" t="s">
        <v>434</v>
      </c>
      <c r="U83" s="1" t="s">
        <v>416</v>
      </c>
      <c r="V83" s="1" t="s">
        <v>46</v>
      </c>
      <c r="W83" s="1" t="s">
        <v>47</v>
      </c>
      <c r="X83" s="1" t="s">
        <v>48</v>
      </c>
      <c r="Y83" s="1" t="s">
        <v>49</v>
      </c>
      <c r="Z83" s="1" t="s">
        <v>50</v>
      </c>
      <c r="AA83" s="12">
        <v>1200.0</v>
      </c>
      <c r="AB83" s="12">
        <f t="shared" si="2"/>
        <v>1.2</v>
      </c>
      <c r="AC83" s="13" t="s">
        <v>51</v>
      </c>
      <c r="AD83" s="13" t="s">
        <v>433</v>
      </c>
      <c r="AE83" s="97" t="str">
        <v>EQ-0078</v>
      </c>
      <c r="AF83" s="98" t="str">
        <v>clothes iron - dry mode</v>
      </c>
      <c r="AG83" s="98" t="str">
        <v>CONDITIONAL_MATCH</v>
      </c>
      <c r="AH83" s="98" t="str">
        <v>Match model or supported analogue, operating state, room allocation and all conditions in F. Use D/E only.</v>
      </c>
    </row>
    <row r="84">
      <c r="A84" s="1" t="s">
        <v>440</v>
      </c>
      <c r="B84" s="1" t="s">
        <v>441</v>
      </c>
      <c r="C84" s="13" t="s">
        <v>442</v>
      </c>
      <c r="D84" s="14" t="s">
        <v>67</v>
      </c>
      <c r="E84" s="14" t="s">
        <v>67</v>
      </c>
      <c r="F84" s="7" t="inlineStr">
        <is>
          <t>Further research required if this item is used in the project. NUMERIC EXAMPLE: 1600 W (1.6 kW); EXISTING REFERENCE — scope/state limits apply.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t>
        </is>
      </c>
      <c r="G84" s="15">
        <v>1600.0</v>
      </c>
      <c r="H84" s="10">
        <f t="shared" si="1"/>
        <v>1.6</v>
      </c>
      <c r="I84" s="1" t="s">
        <v>444</v>
      </c>
      <c r="J84" s="1" t="s">
        <v>445</v>
      </c>
      <c r="K84" s="1" t="s">
        <v>446</v>
      </c>
      <c r="L84" s="11" t="s">
        <v>447</v>
      </c>
      <c r="M84" s="1" t="s">
        <v>448</v>
      </c>
      <c r="N84" s="2" t="s">
        <v>42</v>
      </c>
      <c r="O84" s="1">
        <v>1600.0</v>
      </c>
      <c r="P84" s="1" t="s">
        <v>68</v>
      </c>
      <c r="Q84" s="1" t="s">
        <v>68</v>
      </c>
      <c r="R84" s="1" t="s">
        <v>43</v>
      </c>
      <c r="S84" s="1" t="s">
        <v>449</v>
      </c>
      <c r="T84" s="1" t="s">
        <v>450</v>
      </c>
      <c r="U84" s="1" t="s">
        <v>199</v>
      </c>
      <c r="V84" s="1" t="s">
        <v>200</v>
      </c>
      <c r="W84" s="1" t="s">
        <v>445</v>
      </c>
      <c r="X84" s="1" t="s">
        <v>48</v>
      </c>
      <c r="Y84" s="1" t="s">
        <v>49</v>
      </c>
      <c r="Z84" s="1" t="s">
        <v>50</v>
      </c>
      <c r="AA84" s="16">
        <v>1600.0</v>
      </c>
      <c r="AB84" s="16">
        <f t="shared" si="2"/>
        <v>1.6</v>
      </c>
      <c r="AC84" s="17" t="s">
        <v>201</v>
      </c>
      <c r="AD84" s="17" t="inlineStr">
        <is>
          <t>Further research required if this item is used in the project. Rated electrical power only — sensible/latent unresolved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 This retains the original reference, including any unresolved source limitations; it is not newly validated net room heat. REQUIRED: 1600 W is Dyson Supersonic HD01 rated ELECTRICAL power, not a measured usual room heat split. D/E remain blocked for wet-hair drying. Obtain actual setting, simultaneous dryers, minutes of use and water evaporated per hour; use a moisture/energy balance to divide sensible and latent without adding latent on top of the full electrical input. Include people separately. Dry-air/no-evaporation operation may approximate sensible input only when all heat stays in the room.</t>
        </is>
      </c>
      <c r="AE84" s="97" t="str">
        <v>EQ-0079</v>
      </c>
      <c r="AF84" s="98" t="str">
        <v>hair dryer</v>
      </c>
      <c r="AG84" s="98" t="str">
        <v>REFERENCE_ONLY</v>
      </c>
      <c r="AH84" s="98" t="str">
        <v>Do not auto-use reference wattage. Resolve the missing heat data or document a project estimate.</v>
      </c>
    </row>
    <row r="85">
      <c r="A85" s="1" t="s">
        <v>33</v>
      </c>
      <c r="B85" s="1" t="s">
        <v>452</v>
      </c>
      <c r="C85" s="13" t="s">
        <v>453</v>
      </c>
      <c r="D85" s="14" t="s">
        <v>67</v>
      </c>
      <c r="E85" s="14" t="s">
        <v>67</v>
      </c>
      <c r="F85" s="7" t="inlineStr">
        <is>
          <t>Further research required if this item is used in the project. NUMERIC EXAMPLE: 725 W (0.725 kW); PRELIMINARY — existing selected allowance.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is>
      </c>
      <c r="G85" s="18">
        <v>725.0</v>
      </c>
      <c r="H85" s="19">
        <f t="shared" si="1"/>
        <v>0.725</v>
      </c>
      <c r="I85" s="1" t="s">
        <v>455</v>
      </c>
      <c r="J85" s="1" t="s">
        <v>456</v>
      </c>
      <c r="K85" s="1" t="s">
        <v>457</v>
      </c>
      <c r="L85" s="11" t="s">
        <v>458</v>
      </c>
      <c r="M85" s="1" t="s">
        <v>459</v>
      </c>
      <c r="N85" s="1" t="s">
        <v>42</v>
      </c>
      <c r="O85" s="1">
        <v>725.0</v>
      </c>
      <c r="P85" s="1">
        <v>725.0</v>
      </c>
      <c r="Q85" s="1">
        <v>0.0</v>
      </c>
      <c r="R85" s="1" t="s">
        <v>43</v>
      </c>
      <c r="S85" s="1" t="s">
        <v>460</v>
      </c>
      <c r="T85" s="1" t="s">
        <v>455</v>
      </c>
      <c r="U85" s="1" t="s">
        <v>461</v>
      </c>
      <c r="V85" s="1" t="s">
        <v>200</v>
      </c>
      <c r="W85" s="1" t="s">
        <v>462</v>
      </c>
      <c r="X85" s="1" t="s">
        <v>48</v>
      </c>
      <c r="Y85" s="1" t="s">
        <v>49</v>
      </c>
      <c r="Z85" s="1" t="s">
        <v>50</v>
      </c>
      <c r="AA85" s="16">
        <v>725.0</v>
      </c>
      <c r="AB85" s="16">
        <f t="shared" si="2"/>
        <v>0.725</v>
      </c>
      <c r="AC85" s="17" t="s">
        <v>463</v>
      </c>
      <c r="AD85" s="17" t="inlineStr">
        <is>
          <t>Further research required if this item is used in the project. Midpoint of HP estimated 650–800 W intensive-load range 725 W is calculated midpoint, not measured average. HP article also gives other ranges; selected configuration only. Wall-power basis/PSU losses need verification; monitors separate. Not an engineering default. This retains the original reference, including any unresolved source limitations; it is not newly validated net room heat. REQUIRED: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is>
      </c>
      <c r="AE85" s="97" t="str">
        <v>EQ-0080</v>
      </c>
      <c r="AF85" s="98" t="str">
        <v>high-performance gaming pc; high-performance gaming personal computer</v>
      </c>
      <c r="AG85" s="98" t="str">
        <v>ESTIMATE_ONLY</v>
      </c>
      <c r="AH85" s="98" t="str">
        <v>Do not auto-use reference wattage. Resolve the missing heat data or document a project estimate.</v>
      </c>
    </row>
    <row r="86">
      <c r="A86" s="1" t="s">
        <v>33</v>
      </c>
      <c r="B86" s="1" t="s">
        <v>465</v>
      </c>
      <c r="C86" s="7" t="s">
        <v>35</v>
      </c>
      <c r="D86" s="8">
        <v>65.0</v>
      </c>
      <c r="E86" s="8">
        <v>0.0</v>
      </c>
      <c r="F86" s="7" t="s">
        <v>466</v>
      </c>
      <c r="G86" s="18">
        <v>100.0</v>
      </c>
      <c r="H86" s="20">
        <f t="shared" si="1"/>
        <v>0.1</v>
      </c>
      <c r="I86" s="1" t="s">
        <v>37</v>
      </c>
      <c r="J86" s="1" t="s">
        <v>467</v>
      </c>
      <c r="K86" s="1" t="s">
        <v>39</v>
      </c>
      <c r="L86" s="11" t="s">
        <v>40</v>
      </c>
      <c r="M86" s="1" t="s">
        <v>41</v>
      </c>
      <c r="N86" s="2" t="s">
        <v>42</v>
      </c>
      <c r="O86" s="1">
        <v>65.0</v>
      </c>
      <c r="P86" s="1">
        <v>65.0</v>
      </c>
      <c r="Q86" s="1">
        <v>0.0</v>
      </c>
      <c r="R86" s="1" t="s">
        <v>43</v>
      </c>
      <c r="S86" s="1" t="s">
        <v>44</v>
      </c>
      <c r="T86" s="1" t="s">
        <v>37</v>
      </c>
      <c r="U86" s="1" t="s">
        <v>45</v>
      </c>
      <c r="V86" s="1" t="s">
        <v>46</v>
      </c>
      <c r="W86" s="1" t="s">
        <v>47</v>
      </c>
      <c r="X86" s="1" t="s">
        <v>48</v>
      </c>
      <c r="Y86" s="1" t="s">
        <v>49</v>
      </c>
      <c r="Z86" s="1" t="s">
        <v>50</v>
      </c>
      <c r="AA86" s="12">
        <v>65.0</v>
      </c>
      <c r="AB86" s="12">
        <f t="shared" si="2"/>
        <v>0.065</v>
      </c>
      <c r="AC86" s="13" t="s">
        <v>51</v>
      </c>
      <c r="AD86" s="13" t="s">
        <v>466</v>
      </c>
      <c r="AE86" s="97" t="str">
        <v>EQ-0081</v>
      </c>
      <c r="AF86" s="98" t="str">
        <v>small form-factor office pc; small form-factor office personal computer</v>
      </c>
      <c r="AG86" s="98" t="str">
        <v>CONDITIONAL_MATCH</v>
      </c>
      <c r="AH86" s="98" t="str">
        <v>Match model or supported analogue, operating state, room allocation and all conditions in F. Use D/E only.</v>
      </c>
    </row>
    <row r="87">
      <c r="A87" s="1" t="s">
        <v>33</v>
      </c>
      <c r="B87" s="1" t="s">
        <v>468</v>
      </c>
      <c r="C87" s="7" t="s">
        <v>35</v>
      </c>
      <c r="D87" s="8">
        <v>39.0</v>
      </c>
      <c r="E87" s="8">
        <v>0.0</v>
      </c>
      <c r="F87" s="7" t="s">
        <v>469</v>
      </c>
      <c r="G87" s="18">
        <v>50.0</v>
      </c>
      <c r="H87" s="20">
        <f t="shared" si="1"/>
        <v>0.05</v>
      </c>
      <c r="I87" s="1" t="s">
        <v>470</v>
      </c>
      <c r="J87" s="1" t="s">
        <v>471</v>
      </c>
      <c r="K87" s="1" t="s">
        <v>39</v>
      </c>
      <c r="L87" s="11" t="s">
        <v>40</v>
      </c>
      <c r="M87" s="1" t="s">
        <v>41</v>
      </c>
      <c r="N87" s="2" t="s">
        <v>42</v>
      </c>
      <c r="O87" s="1">
        <v>39.0</v>
      </c>
      <c r="P87" s="1">
        <v>39.0</v>
      </c>
      <c r="Q87" s="1">
        <v>0.0</v>
      </c>
      <c r="R87" s="1" t="s">
        <v>43</v>
      </c>
      <c r="S87" s="1" t="s">
        <v>472</v>
      </c>
      <c r="T87" s="1" t="s">
        <v>470</v>
      </c>
      <c r="U87" s="1" t="s">
        <v>45</v>
      </c>
      <c r="V87" s="1" t="s">
        <v>46</v>
      </c>
      <c r="W87" s="1" t="s">
        <v>47</v>
      </c>
      <c r="X87" s="1" t="s">
        <v>48</v>
      </c>
      <c r="Y87" s="1" t="s">
        <v>49</v>
      </c>
      <c r="Z87" s="1" t="s">
        <v>50</v>
      </c>
      <c r="AA87" s="12">
        <v>39.0</v>
      </c>
      <c r="AB87" s="12">
        <f t="shared" si="2"/>
        <v>0.039</v>
      </c>
      <c r="AC87" s="13" t="s">
        <v>51</v>
      </c>
      <c r="AD87" s="13" t="s">
        <v>469</v>
      </c>
      <c r="AE87" s="97" t="str">
        <v>EQ-0082</v>
      </c>
      <c r="AF87" s="98" t="str">
        <v>mini pc / thin client; mini personal computer / thin client</v>
      </c>
      <c r="AG87" s="98" t="str">
        <v>CONDITIONAL_MATCH</v>
      </c>
      <c r="AH87" s="98" t="str">
        <v>Match model or supported analogue, operating state, room allocation and all conditions in F. Use D/E only.</v>
      </c>
    </row>
    <row r="88">
      <c r="A88" s="1" t="s">
        <v>33</v>
      </c>
      <c r="B88" s="1" t="s">
        <v>473</v>
      </c>
      <c r="C88" s="7" t="s">
        <v>35</v>
      </c>
      <c r="D88" s="8">
        <v>270.0</v>
      </c>
      <c r="E88" s="8">
        <v>0.0</v>
      </c>
      <c r="F88" s="7" t="s">
        <v>474</v>
      </c>
      <c r="G88" s="18">
        <v>300.0</v>
      </c>
      <c r="H88" s="20">
        <f t="shared" si="1"/>
        <v>0.3</v>
      </c>
      <c r="I88" s="1" t="s">
        <v>37</v>
      </c>
      <c r="J88" s="1" t="s">
        <v>475</v>
      </c>
      <c r="K88" s="1" t="s">
        <v>476</v>
      </c>
      <c r="L88" s="11" t="s">
        <v>65</v>
      </c>
      <c r="M88" s="1" t="s">
        <v>41</v>
      </c>
      <c r="N88" s="2" t="s">
        <v>42</v>
      </c>
      <c r="O88" s="1">
        <v>270.0</v>
      </c>
      <c r="P88" s="1">
        <v>270.0</v>
      </c>
      <c r="Q88" s="1">
        <v>0.0</v>
      </c>
      <c r="R88" s="1" t="s">
        <v>43</v>
      </c>
      <c r="S88" s="1" t="s">
        <v>477</v>
      </c>
      <c r="T88" s="1" t="s">
        <v>37</v>
      </c>
      <c r="U88" s="1" t="s">
        <v>45</v>
      </c>
      <c r="V88" s="1" t="s">
        <v>46</v>
      </c>
      <c r="W88" s="1" t="s">
        <v>47</v>
      </c>
      <c r="X88" s="1" t="s">
        <v>48</v>
      </c>
      <c r="Y88" s="1" t="s">
        <v>49</v>
      </c>
      <c r="Z88" s="1" t="s">
        <v>50</v>
      </c>
      <c r="AA88" s="12">
        <v>270.0</v>
      </c>
      <c r="AB88" s="12">
        <f t="shared" si="2"/>
        <v>0.27</v>
      </c>
      <c r="AC88" s="13" t="s">
        <v>51</v>
      </c>
      <c r="AD88" s="13" t="s">
        <v>474</v>
      </c>
      <c r="AE88" s="97" t="str">
        <v>EQ-0083</v>
      </c>
      <c r="AF88" s="98" t="str">
        <v>cad / 3d graphics workstation</v>
      </c>
      <c r="AG88" s="98" t="str">
        <v>CONDITIONAL_MATCH</v>
      </c>
      <c r="AH88" s="98" t="str">
        <v>Match model or supported analogue, operating state, room allocation and all conditions in F. Use D/E only.</v>
      </c>
    </row>
    <row r="89">
      <c r="A89" s="1" t="s">
        <v>33</v>
      </c>
      <c r="B89" s="1" t="s">
        <v>478</v>
      </c>
      <c r="C89" s="13" t="s">
        <v>479</v>
      </c>
      <c r="D89" s="14" t="s">
        <v>67</v>
      </c>
      <c r="E89" s="14" t="s">
        <v>67</v>
      </c>
      <c r="F89" s="7" t="inlineStr">
        <is>
          <t>Further research required if this item is used in the project. NUMERIC EXAMPLE: 1080 W (1.08 kW); EXISTING REFERENCE — scope/state limits apply.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t>
        </is>
      </c>
      <c r="G89" s="18">
        <v>1080.0</v>
      </c>
      <c r="H89" s="19">
        <f t="shared" si="1"/>
        <v>1.08</v>
      </c>
      <c r="I89" s="1" t="s">
        <v>481</v>
      </c>
      <c r="J89" s="1" t="s">
        <v>482</v>
      </c>
      <c r="K89" s="1" t="s">
        <v>483</v>
      </c>
      <c r="L89" s="11" t="s">
        <v>484</v>
      </c>
      <c r="M89" s="1" t="s">
        <v>485</v>
      </c>
      <c r="N89" s="1" t="s">
        <v>42</v>
      </c>
      <c r="O89" s="1">
        <v>1080.0</v>
      </c>
      <c r="P89" s="1" t="s">
        <v>486</v>
      </c>
      <c r="Q89" s="1" t="s">
        <v>486</v>
      </c>
      <c r="R89" s="1" t="s">
        <v>43</v>
      </c>
      <c r="S89" s="1" t="s">
        <v>487</v>
      </c>
      <c r="T89" s="1" t="s">
        <v>481</v>
      </c>
      <c r="U89" s="1" t="s">
        <v>199</v>
      </c>
      <c r="V89" s="1" t="s">
        <v>200</v>
      </c>
      <c r="W89" s="1" t="s">
        <v>482</v>
      </c>
      <c r="X89" s="1" t="s">
        <v>48</v>
      </c>
      <c r="Y89" s="1" t="s">
        <v>49</v>
      </c>
      <c r="Z89" s="1" t="s">
        <v>50</v>
      </c>
      <c r="AA89" s="16">
        <v>1080.0</v>
      </c>
      <c r="AB89" s="16">
        <f t="shared" si="2"/>
        <v>1.08</v>
      </c>
      <c r="AC89" s="17" t="s">
        <v>201</v>
      </c>
      <c r="AD89" s="17" t="inlineStr">
        <is>
          <t>Further research required if this item is used in the project. Autodesk tabulated high-load/startup planning example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 This retains the original reference, including any unresolved source limitations; it is not newly validated net room heat. REQUIRED: 1080 W is Autodesk's HP Z840 dual-GPU/add-on-card planning figure. D/E remain blocked because the table mixes startup power and maximum-processing HVAC language without clearly identifying the watts operating basis. Obtain vendor-confirmed sustained heat or measured real input for the installed CPU/GPU configuration and workload. Add monitors separately; exclude exported cooling. Do not treat PSU capacity, VA, startup current or this figure as usual heat.</t>
        </is>
      </c>
      <c r="AE89" s="97" t="str">
        <v>EQ-0084</v>
      </c>
      <c r="AF89" s="98" t="str">
        <v>engineering workstation - dual cpu/gpu</v>
      </c>
      <c r="AG89" s="98" t="str">
        <v>REFERENCE_ONLY</v>
      </c>
      <c r="AH89" s="98" t="str">
        <v>Do not auto-use reference wattage. Resolve the missing heat data or document a project estimate.</v>
      </c>
    </row>
    <row r="90">
      <c r="A90" s="1" t="s">
        <v>33</v>
      </c>
      <c r="B90" s="1" t="s">
        <v>489</v>
      </c>
      <c r="C90" s="13" t="s">
        <v>87</v>
      </c>
      <c r="D90" s="14">
        <v>5.0</v>
      </c>
      <c r="E90" s="14">
        <v>0.0</v>
      </c>
      <c r="F90" s="13" t="s">
        <v>490</v>
      </c>
      <c r="G90" s="18">
        <v>5.0</v>
      </c>
      <c r="H90" s="19">
        <f t="shared" si="1"/>
        <v>0.005</v>
      </c>
      <c r="I90" s="1" t="s">
        <v>491</v>
      </c>
      <c r="J90" s="1" t="s">
        <v>492</v>
      </c>
      <c r="K90" s="1" t="s">
        <v>493</v>
      </c>
      <c r="L90" s="11" t="s">
        <v>494</v>
      </c>
      <c r="M90" s="1" t="s">
        <v>459</v>
      </c>
      <c r="N90" s="1" t="s">
        <v>42</v>
      </c>
      <c r="O90" s="1">
        <v>5.0</v>
      </c>
      <c r="P90" s="1">
        <v>5.0</v>
      </c>
      <c r="Q90" s="1">
        <v>0.0</v>
      </c>
      <c r="R90" s="1" t="s">
        <v>43</v>
      </c>
      <c r="S90" s="1" t="s">
        <v>495</v>
      </c>
      <c r="T90" s="1" t="s">
        <v>491</v>
      </c>
      <c r="U90" s="1" t="s">
        <v>461</v>
      </c>
      <c r="V90" s="1" t="s">
        <v>46</v>
      </c>
      <c r="W90" s="1" t="s">
        <v>47</v>
      </c>
      <c r="X90" s="1" t="s">
        <v>48</v>
      </c>
      <c r="Y90" s="1" t="s">
        <v>49</v>
      </c>
      <c r="Z90" s="1" t="s">
        <v>50</v>
      </c>
      <c r="AA90" s="12">
        <v>5.0</v>
      </c>
      <c r="AB90" s="12">
        <f t="shared" si="2"/>
        <v>0.005</v>
      </c>
      <c r="AC90" s="13" t="s">
        <v>51</v>
      </c>
      <c r="AD90" s="13" t="s">
        <v>490</v>
      </c>
      <c r="AE90" s="97" t="str">
        <v>EQ-0085</v>
      </c>
      <c r="AF90" s="98" t="str">
        <v>laptop docking station</v>
      </c>
      <c r="AG90" s="98" t="str">
        <v>CONDITIONAL_MATCH</v>
      </c>
      <c r="AH90" s="98" t="str">
        <v>Match model or supported analogue, operating state, room allocation and all conditions in F. Use D/E only.</v>
      </c>
    </row>
    <row r="91">
      <c r="A91" s="1" t="s">
        <v>33</v>
      </c>
      <c r="B91" s="1" t="s">
        <v>496</v>
      </c>
      <c r="C91" s="7" t="s">
        <v>497</v>
      </c>
      <c r="D91" s="8">
        <v>0.5</v>
      </c>
      <c r="E91" s="8">
        <v>0.0</v>
      </c>
      <c r="F91" s="7" t="s">
        <v>498</v>
      </c>
      <c r="G91" s="18">
        <v>0.5</v>
      </c>
      <c r="H91" s="19">
        <f t="shared" si="1"/>
        <v>0.0005</v>
      </c>
      <c r="I91" s="1" t="s">
        <v>499</v>
      </c>
      <c r="J91" s="1" t="s">
        <v>498</v>
      </c>
      <c r="K91" s="1" t="s">
        <v>500</v>
      </c>
      <c r="L91" s="11" t="s">
        <v>501</v>
      </c>
      <c r="M91" s="1" t="s">
        <v>502</v>
      </c>
      <c r="N91" s="1" t="s">
        <v>42</v>
      </c>
      <c r="O91" s="1">
        <v>0.5</v>
      </c>
      <c r="P91" s="1">
        <v>0.5</v>
      </c>
      <c r="Q91" s="1">
        <v>0.0</v>
      </c>
      <c r="R91" s="1" t="s">
        <v>43</v>
      </c>
      <c r="S91" s="1" t="s">
        <v>503</v>
      </c>
      <c r="T91" s="1" t="s">
        <v>499</v>
      </c>
      <c r="U91" s="1" t="s">
        <v>504</v>
      </c>
      <c r="V91" s="1" t="s">
        <v>46</v>
      </c>
      <c r="W91" s="1" t="s">
        <v>47</v>
      </c>
      <c r="X91" s="1" t="s">
        <v>398</v>
      </c>
      <c r="Y91" s="1" t="s">
        <v>399</v>
      </c>
      <c r="Z91" s="1" t="s">
        <v>50</v>
      </c>
      <c r="AA91" s="12">
        <v>0.5</v>
      </c>
      <c r="AB91" s="12">
        <f t="shared" si="2"/>
        <v>0.0005</v>
      </c>
      <c r="AC91" s="13" t="s">
        <v>51</v>
      </c>
      <c r="AD91" s="13" t="s">
        <v>498</v>
      </c>
      <c r="AE91" s="97" t="str">
        <v>EQ-0086</v>
      </c>
      <c r="AF91" s="98" t="str">
        <v>laptop charging station - multiple devices</v>
      </c>
      <c r="AG91" s="98" t="str">
        <v>CONDITIONAL_MATCH</v>
      </c>
      <c r="AH91" s="98" t="str">
        <v>Match model or supported analogue, operating state, room allocation and all conditions in F. Use D/E only.</v>
      </c>
    </row>
    <row r="92">
      <c r="A92" s="1" t="s">
        <v>85</v>
      </c>
      <c r="B92" s="1" t="s">
        <v>505</v>
      </c>
      <c r="C92" s="13" t="s">
        <v>87</v>
      </c>
      <c r="D92" s="14">
        <v>11.7</v>
      </c>
      <c r="E92" s="14">
        <v>0.0</v>
      </c>
      <c r="F92" s="13" t="s">
        <v>506</v>
      </c>
      <c r="G92" s="18">
        <v>12.0</v>
      </c>
      <c r="H92" s="20">
        <f t="shared" si="1"/>
        <v>0.012</v>
      </c>
      <c r="I92" s="1" t="s">
        <v>507</v>
      </c>
      <c r="J92" s="1" t="s">
        <v>508</v>
      </c>
      <c r="K92" s="1" t="s">
        <v>93</v>
      </c>
      <c r="L92" s="11" t="s">
        <v>509</v>
      </c>
      <c r="M92" s="2" t="s">
        <v>510</v>
      </c>
      <c r="N92" s="2" t="s">
        <v>42</v>
      </c>
      <c r="O92" s="2" t="s">
        <v>67</v>
      </c>
      <c r="P92" s="1" t="s">
        <v>68</v>
      </c>
      <c r="Q92" s="1" t="s">
        <v>68</v>
      </c>
      <c r="R92" s="1" t="s">
        <v>43</v>
      </c>
      <c r="S92" s="1" t="s">
        <v>511</v>
      </c>
      <c r="T92" s="1" t="s">
        <v>507</v>
      </c>
      <c r="U92" s="1" t="s">
        <v>70</v>
      </c>
      <c r="V92" s="1" t="s">
        <v>46</v>
      </c>
      <c r="W92" s="1" t="s">
        <v>47</v>
      </c>
      <c r="X92" s="1" t="s">
        <v>48</v>
      </c>
      <c r="Y92" s="1" t="s">
        <v>49</v>
      </c>
      <c r="Z92" s="1" t="s">
        <v>50</v>
      </c>
      <c r="AA92" s="12">
        <v>11.7</v>
      </c>
      <c r="AB92" s="12">
        <f t="shared" si="2"/>
        <v>0.0117</v>
      </c>
      <c r="AC92" s="13" t="s">
        <v>51</v>
      </c>
      <c r="AD92" s="13" t="s">
        <v>506</v>
      </c>
      <c r="AE92" s="97" t="str">
        <v>EQ-0087</v>
      </c>
      <c r="AF92" s="98" t="str">
        <v>24-inch led monitor</v>
      </c>
      <c r="AG92" s="98" t="str">
        <v>CONDITIONAL_MATCH</v>
      </c>
      <c r="AH92" s="98" t="str">
        <v>Match model or supported analogue, operating state, room allocation and all conditions in F. Use D/E only.</v>
      </c>
    </row>
    <row r="93">
      <c r="A93" s="1" t="s">
        <v>85</v>
      </c>
      <c r="B93" s="1" t="s">
        <v>512</v>
      </c>
      <c r="C93" s="13" t="s">
        <v>87</v>
      </c>
      <c r="D93" s="14">
        <v>15.8</v>
      </c>
      <c r="E93" s="14">
        <v>0.0</v>
      </c>
      <c r="F93" s="13" t="s">
        <v>513</v>
      </c>
      <c r="G93" s="18">
        <v>16.0</v>
      </c>
      <c r="H93" s="20">
        <f t="shared" si="1"/>
        <v>0.016</v>
      </c>
      <c r="I93" s="1" t="s">
        <v>507</v>
      </c>
      <c r="J93" s="1" t="s">
        <v>514</v>
      </c>
      <c r="K93" s="1" t="s">
        <v>515</v>
      </c>
      <c r="L93" s="11" t="s">
        <v>516</v>
      </c>
      <c r="M93" s="2" t="s">
        <v>510</v>
      </c>
      <c r="N93" s="2" t="s">
        <v>42</v>
      </c>
      <c r="O93" s="2" t="s">
        <v>67</v>
      </c>
      <c r="P93" s="1" t="s">
        <v>68</v>
      </c>
      <c r="Q93" s="1" t="s">
        <v>68</v>
      </c>
      <c r="R93" s="1" t="s">
        <v>43</v>
      </c>
      <c r="S93" s="1" t="s">
        <v>517</v>
      </c>
      <c r="T93" s="1" t="s">
        <v>507</v>
      </c>
      <c r="U93" s="1" t="s">
        <v>70</v>
      </c>
      <c r="V93" s="1" t="s">
        <v>46</v>
      </c>
      <c r="W93" s="1" t="s">
        <v>47</v>
      </c>
      <c r="X93" s="1" t="s">
        <v>48</v>
      </c>
      <c r="Y93" s="1" t="s">
        <v>49</v>
      </c>
      <c r="Z93" s="1" t="s">
        <v>50</v>
      </c>
      <c r="AA93" s="12">
        <v>15.8</v>
      </c>
      <c r="AB93" s="12">
        <f t="shared" si="2"/>
        <v>0.0158</v>
      </c>
      <c r="AC93" s="13" t="s">
        <v>51</v>
      </c>
      <c r="AD93" s="13" t="s">
        <v>513</v>
      </c>
      <c r="AE93" s="97" t="str">
        <v>EQ-0088</v>
      </c>
      <c r="AF93" s="98" t="str">
        <v>27-inch led monitor</v>
      </c>
      <c r="AG93" s="98" t="str">
        <v>CONDITIONAL_MATCH</v>
      </c>
      <c r="AH93" s="98" t="str">
        <v>Match model or supported analogue, operating state, room allocation and all conditions in F. Use D/E only.</v>
      </c>
    </row>
    <row r="94">
      <c r="A94" s="1" t="s">
        <v>85</v>
      </c>
      <c r="B94" s="1" t="s">
        <v>518</v>
      </c>
      <c r="C94" s="13" t="s">
        <v>87</v>
      </c>
      <c r="D94" s="14">
        <v>29.4</v>
      </c>
      <c r="E94" s="14">
        <v>0.0</v>
      </c>
      <c r="F94" s="13" t="s">
        <v>519</v>
      </c>
      <c r="G94" s="18">
        <v>29.4</v>
      </c>
      <c r="H94" s="19">
        <f t="shared" si="1"/>
        <v>0.0294</v>
      </c>
      <c r="I94" s="1" t="s">
        <v>520</v>
      </c>
      <c r="J94" s="1" t="s">
        <v>521</v>
      </c>
      <c r="K94" s="1" t="s">
        <v>522</v>
      </c>
      <c r="L94" s="11" t="s">
        <v>523</v>
      </c>
      <c r="M94" s="1" t="s">
        <v>524</v>
      </c>
      <c r="N94" s="1" t="s">
        <v>42</v>
      </c>
      <c r="O94" s="1">
        <v>29.4</v>
      </c>
      <c r="P94" s="1">
        <v>29.4</v>
      </c>
      <c r="Q94" s="1">
        <v>0.0</v>
      </c>
      <c r="R94" s="1" t="s">
        <v>43</v>
      </c>
      <c r="S94" s="1" t="s">
        <v>525</v>
      </c>
      <c r="T94" s="1" t="s">
        <v>520</v>
      </c>
      <c r="U94" s="1" t="s">
        <v>526</v>
      </c>
      <c r="V94" s="1" t="s">
        <v>46</v>
      </c>
      <c r="W94" s="1" t="s">
        <v>47</v>
      </c>
      <c r="X94" s="1" t="s">
        <v>48</v>
      </c>
      <c r="Y94" s="1" t="s">
        <v>49</v>
      </c>
      <c r="Z94" s="1" t="s">
        <v>50</v>
      </c>
      <c r="AA94" s="12">
        <v>29.4</v>
      </c>
      <c r="AB94" s="12">
        <f t="shared" si="2"/>
        <v>0.0294</v>
      </c>
      <c r="AC94" s="13" t="s">
        <v>51</v>
      </c>
      <c r="AD94" s="13" t="s">
        <v>519</v>
      </c>
      <c r="AE94" s="97" t="str">
        <v>EQ-0089</v>
      </c>
      <c r="AF94" s="98" t="str">
        <v>32-inch large monitor</v>
      </c>
      <c r="AG94" s="98" t="str">
        <v>CONDITIONAL_MATCH</v>
      </c>
      <c r="AH94" s="98" t="str">
        <v>Match model or supported analogue, operating state, room allocation and all conditions in F. Use D/E only.</v>
      </c>
    </row>
    <row r="95">
      <c r="A95" s="1" t="s">
        <v>85</v>
      </c>
      <c r="B95" s="1" t="s">
        <v>527</v>
      </c>
      <c r="C95" s="13" t="s">
        <v>87</v>
      </c>
      <c r="D95" s="14">
        <v>31.7</v>
      </c>
      <c r="E95" s="14">
        <v>0.0</v>
      </c>
      <c r="F95" s="13" t="s">
        <v>528</v>
      </c>
      <c r="G95" s="18">
        <v>32.0</v>
      </c>
      <c r="H95" s="20">
        <f t="shared" si="1"/>
        <v>0.032</v>
      </c>
      <c r="I95" s="1" t="s">
        <v>507</v>
      </c>
      <c r="J95" s="1" t="s">
        <v>529</v>
      </c>
      <c r="K95" s="1" t="s">
        <v>530</v>
      </c>
      <c r="L95" s="11" t="s">
        <v>531</v>
      </c>
      <c r="M95" s="2" t="s">
        <v>510</v>
      </c>
      <c r="N95" s="2" t="s">
        <v>42</v>
      </c>
      <c r="O95" s="2" t="s">
        <v>67</v>
      </c>
      <c r="P95" s="1" t="s">
        <v>68</v>
      </c>
      <c r="Q95" s="1" t="s">
        <v>68</v>
      </c>
      <c r="R95" s="1" t="s">
        <v>43</v>
      </c>
      <c r="S95" s="1" t="s">
        <v>532</v>
      </c>
      <c r="T95" s="1" t="s">
        <v>507</v>
      </c>
      <c r="U95" s="1" t="s">
        <v>70</v>
      </c>
      <c r="V95" s="1" t="s">
        <v>46</v>
      </c>
      <c r="W95" s="1" t="s">
        <v>47</v>
      </c>
      <c r="X95" s="1" t="s">
        <v>48</v>
      </c>
      <c r="Y95" s="1" t="s">
        <v>49</v>
      </c>
      <c r="Z95" s="1" t="s">
        <v>50</v>
      </c>
      <c r="AA95" s="12">
        <v>31.7</v>
      </c>
      <c r="AB95" s="12">
        <f t="shared" si="2"/>
        <v>0.0317</v>
      </c>
      <c r="AC95" s="13" t="s">
        <v>51</v>
      </c>
      <c r="AD95" s="13" t="s">
        <v>528</v>
      </c>
      <c r="AE95" s="97" t="str">
        <v>EQ-0090</v>
      </c>
      <c r="AF95" s="98" t="str">
        <v>34-inch ultrawide monitor</v>
      </c>
      <c r="AG95" s="98" t="str">
        <v>CONDITIONAL_MATCH</v>
      </c>
      <c r="AH95" s="98" t="str">
        <v>Match model or supported analogue, operating state, room allocation and all conditions in F. Use D/E only.</v>
      </c>
    </row>
    <row r="96">
      <c r="A96" s="1" t="s">
        <v>85</v>
      </c>
      <c r="B96" s="1" t="s">
        <v>533</v>
      </c>
      <c r="C96" s="13" t="s">
        <v>87</v>
      </c>
      <c r="D96" s="14">
        <v>23.4</v>
      </c>
      <c r="E96" s="14">
        <v>0.0</v>
      </c>
      <c r="F96" s="13" t="s">
        <v>534</v>
      </c>
      <c r="G96" s="18">
        <v>24.0</v>
      </c>
      <c r="H96" s="20">
        <f t="shared" si="1"/>
        <v>0.024</v>
      </c>
      <c r="I96" s="1" t="s">
        <v>535</v>
      </c>
      <c r="J96" s="1" t="s">
        <v>536</v>
      </c>
      <c r="K96" s="1" t="s">
        <v>537</v>
      </c>
      <c r="L96" s="11" t="s">
        <v>509</v>
      </c>
      <c r="M96" s="2" t="s">
        <v>510</v>
      </c>
      <c r="N96" s="2" t="s">
        <v>42</v>
      </c>
      <c r="O96" s="2" t="s">
        <v>67</v>
      </c>
      <c r="P96" s="1" t="s">
        <v>68</v>
      </c>
      <c r="Q96" s="1" t="s">
        <v>68</v>
      </c>
      <c r="R96" s="1" t="s">
        <v>43</v>
      </c>
      <c r="S96" s="1" t="s">
        <v>538</v>
      </c>
      <c r="T96" s="1" t="s">
        <v>535</v>
      </c>
      <c r="U96" s="1" t="s">
        <v>70</v>
      </c>
      <c r="V96" s="1" t="s">
        <v>46</v>
      </c>
      <c r="W96" s="1" t="s">
        <v>47</v>
      </c>
      <c r="X96" s="1" t="s">
        <v>48</v>
      </c>
      <c r="Y96" s="1" t="s">
        <v>49</v>
      </c>
      <c r="Z96" s="1" t="s">
        <v>50</v>
      </c>
      <c r="AA96" s="12">
        <v>23.4</v>
      </c>
      <c r="AB96" s="12">
        <f t="shared" si="2"/>
        <v>0.0234</v>
      </c>
      <c r="AC96" s="13" t="s">
        <v>51</v>
      </c>
      <c r="AD96" s="13" t="s">
        <v>534</v>
      </c>
      <c r="AE96" s="97" t="str">
        <v>EQ-0091</v>
      </c>
      <c r="AF96" s="98" t="str">
        <v>dual-monitor workstation - additional load</v>
      </c>
      <c r="AG96" s="98" t="str">
        <v>CONDITIONAL_MATCH</v>
      </c>
      <c r="AH96" s="98" t="str">
        <v>Match model or supported analogue, operating state, room allocation and all conditions in F. Use D/E only.</v>
      </c>
    </row>
    <row r="97">
      <c r="A97" s="1" t="s">
        <v>85</v>
      </c>
      <c r="B97" s="1" t="s">
        <v>539</v>
      </c>
      <c r="C97" s="13" t="s">
        <v>87</v>
      </c>
      <c r="D97" s="14">
        <v>154.0</v>
      </c>
      <c r="E97" s="14">
        <v>0.0</v>
      </c>
      <c r="F97" s="13" t="s">
        <v>540</v>
      </c>
      <c r="G97" s="18">
        <v>154.0</v>
      </c>
      <c r="H97" s="20">
        <f t="shared" si="1"/>
        <v>0.154</v>
      </c>
      <c r="I97" s="1" t="s">
        <v>541</v>
      </c>
      <c r="J97" s="1" t="s">
        <v>542</v>
      </c>
      <c r="K97" s="1" t="s">
        <v>543</v>
      </c>
      <c r="L97" s="11" t="s">
        <v>544</v>
      </c>
      <c r="M97" s="2" t="s">
        <v>510</v>
      </c>
      <c r="N97" s="2" t="s">
        <v>42</v>
      </c>
      <c r="O97" s="2" t="s">
        <v>67</v>
      </c>
      <c r="P97" s="1" t="s">
        <v>68</v>
      </c>
      <c r="Q97" s="1" t="s">
        <v>68</v>
      </c>
      <c r="R97" s="1" t="s">
        <v>43</v>
      </c>
      <c r="S97" s="1" t="s">
        <v>545</v>
      </c>
      <c r="T97" s="1" t="s">
        <v>541</v>
      </c>
      <c r="U97" s="1" t="s">
        <v>70</v>
      </c>
      <c r="V97" s="1" t="s">
        <v>46</v>
      </c>
      <c r="W97" s="1" t="s">
        <v>47</v>
      </c>
      <c r="X97" s="1" t="s">
        <v>48</v>
      </c>
      <c r="Y97" s="1" t="s">
        <v>49</v>
      </c>
      <c r="Z97" s="1" t="s">
        <v>50</v>
      </c>
      <c r="AA97" s="12">
        <v>154.0</v>
      </c>
      <c r="AB97" s="12">
        <f t="shared" si="2"/>
        <v>0.154</v>
      </c>
      <c r="AC97" s="13" t="s">
        <v>51</v>
      </c>
      <c r="AD97" s="13" t="s">
        <v>540</v>
      </c>
      <c r="AE97" s="97" t="str">
        <v>EQ-0092</v>
      </c>
      <c r="AF97" s="98" t="str">
        <v>55-inch commercial display</v>
      </c>
      <c r="AG97" s="98" t="str">
        <v>CONDITIONAL_MATCH</v>
      </c>
      <c r="AH97" s="98" t="str">
        <v>Match model or supported analogue, operating state, room allocation and all conditions in F. Use D/E only.</v>
      </c>
    </row>
    <row r="98">
      <c r="A98" s="1" t="s">
        <v>85</v>
      </c>
      <c r="B98" s="1" t="s">
        <v>546</v>
      </c>
      <c r="C98" s="13" t="s">
        <v>87</v>
      </c>
      <c r="D98" s="14">
        <v>215.0</v>
      </c>
      <c r="E98" s="14">
        <v>0.0</v>
      </c>
      <c r="F98" s="13" t="s">
        <v>547</v>
      </c>
      <c r="G98" s="18">
        <v>215.0</v>
      </c>
      <c r="H98" s="20">
        <f t="shared" si="1"/>
        <v>0.215</v>
      </c>
      <c r="I98" s="1" t="s">
        <v>541</v>
      </c>
      <c r="J98" s="1" t="s">
        <v>548</v>
      </c>
      <c r="K98" s="1" t="s">
        <v>549</v>
      </c>
      <c r="L98" s="11" t="s">
        <v>550</v>
      </c>
      <c r="M98" s="2" t="s">
        <v>510</v>
      </c>
      <c r="N98" s="2" t="s">
        <v>42</v>
      </c>
      <c r="O98" s="2" t="s">
        <v>67</v>
      </c>
      <c r="P98" s="1" t="s">
        <v>68</v>
      </c>
      <c r="Q98" s="1" t="s">
        <v>68</v>
      </c>
      <c r="R98" s="1" t="s">
        <v>43</v>
      </c>
      <c r="S98" s="1" t="s">
        <v>551</v>
      </c>
      <c r="T98" s="1" t="s">
        <v>541</v>
      </c>
      <c r="U98" s="1" t="s">
        <v>70</v>
      </c>
      <c r="V98" s="1" t="s">
        <v>46</v>
      </c>
      <c r="W98" s="1" t="s">
        <v>47</v>
      </c>
      <c r="X98" s="1" t="s">
        <v>48</v>
      </c>
      <c r="Y98" s="1" t="s">
        <v>49</v>
      </c>
      <c r="Z98" s="1" t="s">
        <v>50</v>
      </c>
      <c r="AA98" s="12">
        <v>215.0</v>
      </c>
      <c r="AB98" s="12">
        <f t="shared" si="2"/>
        <v>0.215</v>
      </c>
      <c r="AC98" s="13" t="s">
        <v>51</v>
      </c>
      <c r="AD98" s="13" t="s">
        <v>547</v>
      </c>
      <c r="AE98" s="97" t="str">
        <v>EQ-0093</v>
      </c>
      <c r="AF98" s="98" t="str">
        <v>75-inch commercial display</v>
      </c>
      <c r="AG98" s="98" t="str">
        <v>CONDITIONAL_MATCH</v>
      </c>
      <c r="AH98" s="98" t="str">
        <v>Match model or supported analogue, operating state, room allocation and all conditions in F. Use D/E only.</v>
      </c>
    </row>
    <row r="99">
      <c r="A99" s="1" t="s">
        <v>85</v>
      </c>
      <c r="B99" s="1" t="s">
        <v>552</v>
      </c>
      <c r="C99" s="13" t="s">
        <v>87</v>
      </c>
      <c r="D99" s="14">
        <v>113.7</v>
      </c>
      <c r="E99" s="14">
        <v>0.0</v>
      </c>
      <c r="F99" s="13" t="s">
        <v>553</v>
      </c>
      <c r="G99" s="18">
        <v>113.7</v>
      </c>
      <c r="H99" s="19">
        <f t="shared" si="1"/>
        <v>0.1137</v>
      </c>
      <c r="I99" s="1" t="s">
        <v>554</v>
      </c>
      <c r="J99" s="1" t="s">
        <v>555</v>
      </c>
      <c r="K99" s="1" t="s">
        <v>556</v>
      </c>
      <c r="L99" s="11" t="s">
        <v>557</v>
      </c>
      <c r="M99" s="1" t="s">
        <v>524</v>
      </c>
      <c r="N99" s="1" t="s">
        <v>42</v>
      </c>
      <c r="O99" s="1">
        <v>113.7</v>
      </c>
      <c r="P99" s="1">
        <v>113.7</v>
      </c>
      <c r="Q99" s="1">
        <v>0.0</v>
      </c>
      <c r="R99" s="1" t="s">
        <v>43</v>
      </c>
      <c r="S99" s="1" t="s">
        <v>558</v>
      </c>
      <c r="T99" s="1" t="s">
        <v>554</v>
      </c>
      <c r="U99" s="1" t="s">
        <v>559</v>
      </c>
      <c r="V99" s="1" t="s">
        <v>46</v>
      </c>
      <c r="W99" s="1" t="s">
        <v>47</v>
      </c>
      <c r="X99" s="1" t="s">
        <v>48</v>
      </c>
      <c r="Y99" s="1" t="s">
        <v>49</v>
      </c>
      <c r="Z99" s="1" t="s">
        <v>50</v>
      </c>
      <c r="AA99" s="12">
        <v>113.7</v>
      </c>
      <c r="AB99" s="12">
        <f t="shared" si="2"/>
        <v>0.1137</v>
      </c>
      <c r="AC99" s="13" t="s">
        <v>51</v>
      </c>
      <c r="AD99" s="13" t="s">
        <v>553</v>
      </c>
      <c r="AE99" s="97" t="str">
        <v>EQ-0094</v>
      </c>
      <c r="AF99" s="98" t="str">
        <v>interactive flat-panel display</v>
      </c>
      <c r="AG99" s="98" t="str">
        <v>CONDITIONAL_MATCH</v>
      </c>
      <c r="AH99" s="98" t="str">
        <v>Match model or supported analogue, operating state, room allocation and all conditions in F. Use D/E only.</v>
      </c>
    </row>
    <row r="100">
      <c r="A100" s="1" t="s">
        <v>85</v>
      </c>
      <c r="B100" s="1" t="s">
        <v>560</v>
      </c>
      <c r="C100" s="13" t="s">
        <v>87</v>
      </c>
      <c r="D100" s="14">
        <v>113.7</v>
      </c>
      <c r="E100" s="14">
        <v>0.0</v>
      </c>
      <c r="F100" s="13" t="s">
        <v>553</v>
      </c>
      <c r="G100" s="18">
        <v>113.7</v>
      </c>
      <c r="H100" s="19">
        <f t="shared" si="1"/>
        <v>0.1137</v>
      </c>
      <c r="I100" s="1" t="s">
        <v>554</v>
      </c>
      <c r="J100" s="1" t="s">
        <v>555</v>
      </c>
      <c r="K100" s="1" t="s">
        <v>556</v>
      </c>
      <c r="L100" s="11" t="s">
        <v>557</v>
      </c>
      <c r="M100" s="1" t="s">
        <v>524</v>
      </c>
      <c r="N100" s="1" t="s">
        <v>42</v>
      </c>
      <c r="O100" s="1">
        <v>113.7</v>
      </c>
      <c r="P100" s="1">
        <v>113.7</v>
      </c>
      <c r="Q100" s="1">
        <v>0.0</v>
      </c>
      <c r="R100" s="1" t="s">
        <v>43</v>
      </c>
      <c r="S100" s="1" t="s">
        <v>558</v>
      </c>
      <c r="T100" s="1" t="s">
        <v>554</v>
      </c>
      <c r="U100" s="1" t="s">
        <v>559</v>
      </c>
      <c r="V100" s="1" t="s">
        <v>46</v>
      </c>
      <c r="W100" s="1" t="s">
        <v>47</v>
      </c>
      <c r="X100" s="1" t="s">
        <v>48</v>
      </c>
      <c r="Y100" s="1" t="s">
        <v>49</v>
      </c>
      <c r="Z100" s="1" t="s">
        <v>50</v>
      </c>
      <c r="AA100" s="12">
        <v>113.7</v>
      </c>
      <c r="AB100" s="12">
        <f t="shared" si="2"/>
        <v>0.1137</v>
      </c>
      <c r="AC100" s="13" t="s">
        <v>51</v>
      </c>
      <c r="AD100" s="13" t="s">
        <v>553</v>
      </c>
      <c r="AE100" s="97" t="str">
        <v>EQ-0095</v>
      </c>
      <c r="AF100" s="98" t="str">
        <v>digital whiteboard</v>
      </c>
      <c r="AG100" s="98" t="str">
        <v>CONDITIONAL_MATCH</v>
      </c>
      <c r="AH100" s="98" t="str">
        <v>Match model or supported analogue, operating state, room allocation and all conditions in F. Use D/E only.</v>
      </c>
    </row>
    <row r="101">
      <c r="A101" s="1" t="s">
        <v>259</v>
      </c>
      <c r="B101" s="1" t="s">
        <v>561</v>
      </c>
      <c r="C101" s="13" t="s">
        <v>35</v>
      </c>
      <c r="D101" s="14">
        <v>8.0</v>
      </c>
      <c r="E101" s="14">
        <v>0.0</v>
      </c>
      <c r="F101" s="13" t="s">
        <v>562</v>
      </c>
      <c r="G101" s="18">
        <v>8.0</v>
      </c>
      <c r="H101" s="20">
        <f t="shared" si="1"/>
        <v>0.008</v>
      </c>
      <c r="I101" s="1" t="s">
        <v>563</v>
      </c>
      <c r="J101" s="1" t="s">
        <v>564</v>
      </c>
      <c r="K101" s="1" t="s">
        <v>565</v>
      </c>
      <c r="L101" s="11" t="s">
        <v>566</v>
      </c>
      <c r="M101" s="2" t="s">
        <v>510</v>
      </c>
      <c r="N101" s="2" t="s">
        <v>567</v>
      </c>
      <c r="O101" s="2" t="s">
        <v>67</v>
      </c>
      <c r="P101" s="1" t="s">
        <v>68</v>
      </c>
      <c r="Q101" s="1" t="s">
        <v>68</v>
      </c>
      <c r="R101" s="1" t="s">
        <v>43</v>
      </c>
      <c r="S101" s="1" t="s">
        <v>568</v>
      </c>
      <c r="T101" s="1" t="s">
        <v>563</v>
      </c>
      <c r="U101" s="1" t="s">
        <v>70</v>
      </c>
      <c r="V101" s="1" t="s">
        <v>46</v>
      </c>
      <c r="W101" s="1" t="s">
        <v>47</v>
      </c>
      <c r="X101" s="1" t="s">
        <v>174</v>
      </c>
      <c r="Y101" s="1" t="s">
        <v>175</v>
      </c>
      <c r="Z101" s="1" t="s">
        <v>50</v>
      </c>
      <c r="AA101" s="12">
        <v>8.0</v>
      </c>
      <c r="AB101" s="12">
        <f t="shared" si="2"/>
        <v>0.008</v>
      </c>
      <c r="AC101" s="13" t="s">
        <v>51</v>
      </c>
      <c r="AD101" s="13" t="s">
        <v>562</v>
      </c>
      <c r="AE101" s="97" t="str">
        <v>EQ-0096</v>
      </c>
      <c r="AF101" s="98" t="str">
        <v>small network switch - poe</v>
      </c>
      <c r="AG101" s="98" t="str">
        <v>CONDITIONAL_MATCH</v>
      </c>
      <c r="AH101" s="98" t="str">
        <v>Match model or supported analogue, operating state, room allocation and all conditions in F. Use D/E only.</v>
      </c>
    </row>
    <row r="102">
      <c r="A102" s="1" t="s">
        <v>259</v>
      </c>
      <c r="B102" s="1" t="s">
        <v>569</v>
      </c>
      <c r="C102" s="13" t="s">
        <v>35</v>
      </c>
      <c r="D102" s="14">
        <v>45.0</v>
      </c>
      <c r="E102" s="14">
        <v>0.0</v>
      </c>
      <c r="F102" s="13" t="s">
        <v>570</v>
      </c>
      <c r="G102" s="18">
        <v>45.0</v>
      </c>
      <c r="H102" s="19">
        <f t="shared" si="1"/>
        <v>0.045</v>
      </c>
      <c r="I102" s="1" t="s">
        <v>571</v>
      </c>
      <c r="J102" s="1" t="s">
        <v>572</v>
      </c>
      <c r="K102" s="1" t="s">
        <v>573</v>
      </c>
      <c r="L102" s="11" t="s">
        <v>574</v>
      </c>
      <c r="M102" s="1" t="s">
        <v>524</v>
      </c>
      <c r="N102" s="1" t="s">
        <v>567</v>
      </c>
      <c r="O102" s="1">
        <v>45.0</v>
      </c>
      <c r="P102" s="1">
        <v>45.0</v>
      </c>
      <c r="Q102" s="1">
        <v>0.0</v>
      </c>
      <c r="R102" s="1" t="s">
        <v>43</v>
      </c>
      <c r="S102" s="1" t="s">
        <v>575</v>
      </c>
      <c r="T102" s="1" t="s">
        <v>571</v>
      </c>
      <c r="U102" s="1" t="s">
        <v>526</v>
      </c>
      <c r="V102" s="1" t="s">
        <v>46</v>
      </c>
      <c r="W102" s="1" t="s">
        <v>47</v>
      </c>
      <c r="X102" s="1" t="s">
        <v>174</v>
      </c>
      <c r="Y102" s="1" t="s">
        <v>175</v>
      </c>
      <c r="Z102" s="1" t="s">
        <v>50</v>
      </c>
      <c r="AA102" s="12">
        <v>45.0</v>
      </c>
      <c r="AB102" s="12">
        <f t="shared" si="2"/>
        <v>0.045</v>
      </c>
      <c r="AC102" s="13" t="s">
        <v>51</v>
      </c>
      <c r="AD102" s="13" t="s">
        <v>570</v>
      </c>
      <c r="AE102" s="97" t="str">
        <v>EQ-0097</v>
      </c>
      <c r="AF102" s="98" t="str">
        <v>48-port network switch - poe</v>
      </c>
      <c r="AG102" s="98" t="str">
        <v>CONDITIONAL_MATCH</v>
      </c>
      <c r="AH102" s="98" t="str">
        <v>Match model or supported analogue, operating state, room allocation and all conditions in F. Use D/E only.</v>
      </c>
    </row>
    <row r="103">
      <c r="A103" s="1" t="s">
        <v>259</v>
      </c>
      <c r="B103" s="1" t="s">
        <v>576</v>
      </c>
      <c r="C103" s="13" t="s">
        <v>35</v>
      </c>
      <c r="D103" s="14">
        <v>5.0</v>
      </c>
      <c r="E103" s="14">
        <v>0.0</v>
      </c>
      <c r="F103" s="13" t="s">
        <v>577</v>
      </c>
      <c r="G103" s="18">
        <v>5.0</v>
      </c>
      <c r="H103" s="19">
        <f t="shared" si="1"/>
        <v>0.005</v>
      </c>
      <c r="I103" s="1" t="s">
        <v>578</v>
      </c>
      <c r="J103" s="1" t="s">
        <v>579</v>
      </c>
      <c r="K103" s="1" t="s">
        <v>580</v>
      </c>
      <c r="L103" s="11" t="s">
        <v>581</v>
      </c>
      <c r="M103" s="1" t="s">
        <v>524</v>
      </c>
      <c r="N103" s="1" t="s">
        <v>582</v>
      </c>
      <c r="O103" s="1">
        <v>5.0</v>
      </c>
      <c r="P103" s="1">
        <v>5.0</v>
      </c>
      <c r="Q103" s="1">
        <v>0.0</v>
      </c>
      <c r="R103" s="1" t="s">
        <v>43</v>
      </c>
      <c r="S103" s="1" t="s">
        <v>583</v>
      </c>
      <c r="T103" s="1" t="s">
        <v>578</v>
      </c>
      <c r="U103" s="1" t="s">
        <v>526</v>
      </c>
      <c r="V103" s="1" t="s">
        <v>46</v>
      </c>
      <c r="W103" s="1" t="s">
        <v>47</v>
      </c>
      <c r="X103" s="1" t="s">
        <v>174</v>
      </c>
      <c r="Y103" s="1" t="s">
        <v>175</v>
      </c>
      <c r="Z103" s="1" t="s">
        <v>50</v>
      </c>
      <c r="AA103" s="12">
        <v>5.0</v>
      </c>
      <c r="AB103" s="12">
        <f t="shared" si="2"/>
        <v>0.005</v>
      </c>
      <c r="AC103" s="13" t="s">
        <v>51</v>
      </c>
      <c r="AD103" s="13" t="s">
        <v>577</v>
      </c>
      <c r="AE103" s="97" t="str">
        <v>EQ-0098</v>
      </c>
      <c r="AF103" s="98" t="str">
        <v>network router / gateway</v>
      </c>
      <c r="AG103" s="98" t="str">
        <v>CONDITIONAL_MATCH</v>
      </c>
      <c r="AH103" s="98" t="str">
        <v>Match model or supported analogue, operating state, room allocation and all conditions in F. Use D/E only.</v>
      </c>
    </row>
    <row r="104">
      <c r="A104" s="1" t="s">
        <v>259</v>
      </c>
      <c r="B104" s="1" t="s">
        <v>584</v>
      </c>
      <c r="C104" s="7" t="s">
        <v>585</v>
      </c>
      <c r="D104" s="8">
        <v>80.51</v>
      </c>
      <c r="E104" s="8">
        <v>0.0</v>
      </c>
      <c r="F104" s="7" t="s">
        <v>586</v>
      </c>
      <c r="G104" s="18">
        <v>80.51</v>
      </c>
      <c r="H104" s="19">
        <f t="shared" si="1"/>
        <v>0.08051</v>
      </c>
      <c r="I104" s="1" t="s">
        <v>587</v>
      </c>
      <c r="J104" s="1" t="s">
        <v>586</v>
      </c>
      <c r="K104" s="1" t="s">
        <v>588</v>
      </c>
      <c r="L104" s="1" t="s">
        <v>589</v>
      </c>
      <c r="M104" s="1" t="s">
        <v>502</v>
      </c>
      <c r="N104" s="1" t="s">
        <v>582</v>
      </c>
      <c r="O104" s="1">
        <v>80.51</v>
      </c>
      <c r="P104" s="1">
        <v>80.51</v>
      </c>
      <c r="Q104" s="1">
        <v>0.0</v>
      </c>
      <c r="R104" s="1" t="s">
        <v>43</v>
      </c>
      <c r="S104" s="1" t="s">
        <v>590</v>
      </c>
      <c r="T104" s="1" t="s">
        <v>587</v>
      </c>
      <c r="U104" s="1" t="s">
        <v>504</v>
      </c>
      <c r="V104" s="1" t="s">
        <v>46</v>
      </c>
      <c r="W104" s="1" t="s">
        <v>47</v>
      </c>
      <c r="X104" s="1" t="s">
        <v>591</v>
      </c>
      <c r="Y104" s="1" t="s">
        <v>592</v>
      </c>
      <c r="Z104" s="1" t="s">
        <v>50</v>
      </c>
      <c r="AA104" s="12">
        <v>80.51</v>
      </c>
      <c r="AB104" s="12">
        <f t="shared" si="2"/>
        <v>0.08051</v>
      </c>
      <c r="AC104" s="13" t="s">
        <v>51</v>
      </c>
      <c r="AD104" s="13" t="s">
        <v>586</v>
      </c>
      <c r="AE104" s="97" t="str">
        <v>EQ-0099</v>
      </c>
      <c r="AF104" s="98" t="str">
        <v>small network rack - active equipment</v>
      </c>
      <c r="AG104" s="98" t="str">
        <v>CONDITIONAL_MATCH</v>
      </c>
      <c r="AH104" s="98" t="str">
        <v>Match model or supported analogue, operating state, room allocation and all conditions in F. Use D/E only.</v>
      </c>
    </row>
    <row r="105">
      <c r="A105" s="1" t="s">
        <v>259</v>
      </c>
      <c r="B105" s="1" t="s">
        <v>593</v>
      </c>
      <c r="C105" s="13" t="s">
        <v>87</v>
      </c>
      <c r="D105" s="14">
        <v>35.51</v>
      </c>
      <c r="E105" s="14">
        <v>0.0</v>
      </c>
      <c r="F105" s="13" t="s">
        <v>594</v>
      </c>
      <c r="G105" s="18">
        <v>35.51</v>
      </c>
      <c r="H105" s="19">
        <f t="shared" si="1"/>
        <v>0.03551</v>
      </c>
      <c r="I105" s="1" t="s">
        <v>595</v>
      </c>
      <c r="J105" s="1" t="s">
        <v>596</v>
      </c>
      <c r="K105" s="1" t="s">
        <v>597</v>
      </c>
      <c r="L105" s="11" t="s">
        <v>598</v>
      </c>
      <c r="M105" s="1" t="s">
        <v>524</v>
      </c>
      <c r="N105" s="1" t="s">
        <v>582</v>
      </c>
      <c r="O105" s="1">
        <v>35.51</v>
      </c>
      <c r="P105" s="1">
        <v>35.51</v>
      </c>
      <c r="Q105" s="1">
        <v>0.0</v>
      </c>
      <c r="R105" s="1" t="s">
        <v>43</v>
      </c>
      <c r="S105" s="1" t="s">
        <v>599</v>
      </c>
      <c r="T105" s="1" t="s">
        <v>595</v>
      </c>
      <c r="U105" s="1" t="s">
        <v>559</v>
      </c>
      <c r="V105" s="1" t="s">
        <v>46</v>
      </c>
      <c r="W105" s="1" t="s">
        <v>47</v>
      </c>
      <c r="X105" s="1" t="s">
        <v>591</v>
      </c>
      <c r="Y105" s="1" t="s">
        <v>592</v>
      </c>
      <c r="Z105" s="1" t="s">
        <v>50</v>
      </c>
      <c r="AA105" s="12">
        <v>35.51</v>
      </c>
      <c r="AB105" s="12">
        <f t="shared" si="2"/>
        <v>0.03551</v>
      </c>
      <c r="AC105" s="13" t="s">
        <v>51</v>
      </c>
      <c r="AD105" s="13" t="s">
        <v>594</v>
      </c>
      <c r="AE105" s="97" t="str">
        <v>EQ-0100</v>
      </c>
      <c r="AF105" s="98" t="str">
        <v>nas / small file server</v>
      </c>
      <c r="AG105" s="98" t="str">
        <v>CONDITIONAL_MATCH</v>
      </c>
      <c r="AH105" s="98" t="str">
        <v>Match model or supported analogue, operating state, room allocation and all conditions in F. Use D/E only.</v>
      </c>
    </row>
    <row r="106">
      <c r="A106" s="1" t="s">
        <v>259</v>
      </c>
      <c r="B106" s="1" t="s">
        <v>600</v>
      </c>
      <c r="C106" s="13" t="s">
        <v>35</v>
      </c>
      <c r="D106" s="14">
        <v>229.49</v>
      </c>
      <c r="E106" s="14">
        <v>0.0</v>
      </c>
      <c r="F106" s="13" t="s">
        <v>601</v>
      </c>
      <c r="G106" s="18">
        <v>229.49</v>
      </c>
      <c r="H106" s="19">
        <f t="shared" si="1"/>
        <v>0.22949</v>
      </c>
      <c r="I106" s="1" t="s">
        <v>602</v>
      </c>
      <c r="J106" s="1" t="s">
        <v>603</v>
      </c>
      <c r="K106" s="1" t="s">
        <v>604</v>
      </c>
      <c r="L106" s="11" t="s">
        <v>605</v>
      </c>
      <c r="M106" s="1" t="s">
        <v>459</v>
      </c>
      <c r="N106" s="1" t="s">
        <v>582</v>
      </c>
      <c r="O106" s="1" t="s">
        <v>606</v>
      </c>
      <c r="P106" s="1" t="s">
        <v>486</v>
      </c>
      <c r="Q106" s="1" t="s">
        <v>486</v>
      </c>
      <c r="R106" s="1" t="s">
        <v>43</v>
      </c>
      <c r="S106" s="1" t="s">
        <v>607</v>
      </c>
      <c r="T106" s="1" t="s">
        <v>602</v>
      </c>
      <c r="U106" s="1" t="s">
        <v>608</v>
      </c>
      <c r="V106" s="1" t="s">
        <v>46</v>
      </c>
      <c r="W106" s="1" t="s">
        <v>47</v>
      </c>
      <c r="X106" s="1" t="s">
        <v>591</v>
      </c>
      <c r="Y106" s="1" t="s">
        <v>592</v>
      </c>
      <c r="Z106" s="1" t="s">
        <v>50</v>
      </c>
      <c r="AA106" s="12">
        <v>229.49</v>
      </c>
      <c r="AB106" s="12">
        <f t="shared" si="2"/>
        <v>0.22949</v>
      </c>
      <c r="AC106" s="13" t="s">
        <v>51</v>
      </c>
      <c r="AD106" s="13" t="s">
        <v>601</v>
      </c>
      <c r="AE106" s="97" t="str">
        <v>EQ-0101</v>
      </c>
      <c r="AF106" s="98" t="str">
        <v>rack-mounted server</v>
      </c>
      <c r="AG106" s="98" t="str">
        <v>CONDITIONAL_MATCH</v>
      </c>
      <c r="AH106" s="98" t="str">
        <v>Match model or supported analogue, operating state, room allocation and all conditions in F. Use D/E only.</v>
      </c>
    </row>
    <row r="107">
      <c r="A107" s="1" t="s">
        <v>259</v>
      </c>
      <c r="B107" s="1" t="s">
        <v>609</v>
      </c>
      <c r="C107" s="7" t="s">
        <v>585</v>
      </c>
      <c r="D107" s="8">
        <v>917.96</v>
      </c>
      <c r="E107" s="8">
        <v>0.0</v>
      </c>
      <c r="F107" s="7" t="s">
        <v>610</v>
      </c>
      <c r="G107" s="18">
        <v>917.96</v>
      </c>
      <c r="H107" s="19">
        <f t="shared" si="1"/>
        <v>0.91796</v>
      </c>
      <c r="I107" s="1" t="s">
        <v>611</v>
      </c>
      <c r="J107" s="1" t="s">
        <v>610</v>
      </c>
      <c r="K107" s="1" t="s">
        <v>612</v>
      </c>
      <c r="L107" s="11" t="s">
        <v>605</v>
      </c>
      <c r="M107" s="1" t="s">
        <v>502</v>
      </c>
      <c r="N107" s="1" t="s">
        <v>582</v>
      </c>
      <c r="O107" s="1" t="s">
        <v>606</v>
      </c>
      <c r="P107" s="1">
        <v>917.96</v>
      </c>
      <c r="Q107" s="1">
        <v>0.0</v>
      </c>
      <c r="R107" s="1" t="s">
        <v>43</v>
      </c>
      <c r="S107" s="1" t="s">
        <v>613</v>
      </c>
      <c r="T107" s="1" t="s">
        <v>611</v>
      </c>
      <c r="U107" s="1" t="s">
        <v>504</v>
      </c>
      <c r="V107" s="1" t="s">
        <v>46</v>
      </c>
      <c r="W107" s="1" t="s">
        <v>47</v>
      </c>
      <c r="X107" s="1" t="s">
        <v>591</v>
      </c>
      <c r="Y107" s="1" t="s">
        <v>592</v>
      </c>
      <c r="Z107" s="1" t="s">
        <v>50</v>
      </c>
      <c r="AA107" s="12">
        <v>917.96</v>
      </c>
      <c r="AB107" s="12">
        <f t="shared" si="2"/>
        <v>0.91796</v>
      </c>
      <c r="AC107" s="13" t="s">
        <v>51</v>
      </c>
      <c r="AD107" s="13" t="s">
        <v>610</v>
      </c>
      <c r="AE107" s="97" t="str">
        <v>EQ-0102</v>
      </c>
      <c r="AF107" s="98" t="str">
        <v>server rack - multiple servers</v>
      </c>
      <c r="AG107" s="98" t="str">
        <v>CONDITIONAL_MATCH</v>
      </c>
      <c r="AH107" s="98" t="str">
        <v>Match model or supported analogue, operating state, room allocation and all conditions in F. Use D/E only.</v>
      </c>
    </row>
    <row r="108">
      <c r="A108" s="1" t="s">
        <v>259</v>
      </c>
      <c r="B108" s="1" t="s">
        <v>614</v>
      </c>
      <c r="C108" s="13" t="s">
        <v>479</v>
      </c>
      <c r="D108" s="14" t="s">
        <v>67</v>
      </c>
      <c r="E108" s="14" t="s">
        <v>67</v>
      </c>
      <c r="F108" s="7" t="inlineStr">
        <is>
          <t>Further research required if this item is used in the project. USER-REQUESTED HYPOTHETICAL EXAMPLE: 1000 W (1 kW). Illustrative rack: assumed 1,000 W real consumption, no RF/PoE/DC export, batteries or remote cooling; all energy dissipates in room. Assumed for illustration, not sourced or project-approved. Sensible/latent split unverified. No single defensible watts-per-rack value without the equipment list. Obtain router/switch/radio models, quantities, traffic state, rectifier losses, battery charging and cooling location. Sum manufacturer heat dissipation, or measured real input minus power exported by RF/PoE/DC and stored in batteries, allocated to this room. Avoid subtracting RF twice if manufacturer heat already excludes it. Rack dimensions and PSU capacity are not heat values. D/E remain blank.</t>
        </is>
      </c>
      <c r="G108" s="18" t="s">
        <v>616</v>
      </c>
      <c r="H108" s="19" t="s">
        <v>616</v>
      </c>
      <c r="I108" s="1" t="s">
        <v>617</v>
      </c>
      <c r="J108" s="1" t="s">
        <v>618</v>
      </c>
      <c r="K108" s="1" t="s">
        <v>619</v>
      </c>
      <c r="L108" s="11" t="s">
        <v>620</v>
      </c>
      <c r="M108" s="1" t="s">
        <v>621</v>
      </c>
      <c r="N108" s="1" t="s">
        <v>582</v>
      </c>
      <c r="O108" s="1" t="s">
        <v>606</v>
      </c>
      <c r="P108" s="1" t="s">
        <v>486</v>
      </c>
      <c r="Q108" s="1" t="s">
        <v>486</v>
      </c>
      <c r="R108" s="1" t="s">
        <v>43</v>
      </c>
      <c r="S108" s="1" t="s">
        <v>622</v>
      </c>
      <c r="T108" s="1" t="s">
        <v>617</v>
      </c>
      <c r="U108" s="1" t="s">
        <v>504</v>
      </c>
      <c r="V108" s="1" t="s">
        <v>200</v>
      </c>
      <c r="W108" s="1" t="s">
        <v>618</v>
      </c>
      <c r="X108" s="1" t="s">
        <v>591</v>
      </c>
      <c r="Y108" s="1" t="s">
        <v>592</v>
      </c>
      <c r="Z108" s="1" t="s">
        <v>50</v>
      </c>
      <c r="AA108" s="16">
        <v>1000.0</v>
      </c>
      <c r="AB108" s="16">
        <f t="shared" si="2"/>
        <v>1</v>
      </c>
      <c r="AC108" s="17" t="s">
        <v>623</v>
      </c>
      <c r="AD108" s="17" t="inlineStr">
        <is>
          <t>Further research required if this item is used in the project. Illustrative rack: assumed 1,000 W real consumption, no RF/PoE/DC export, batteries or remote cooling; all energy dissipates in room. REQUIRED: No single defensible watts-per-rack value without the equipment list. Obtain router/switch/radio models, quantities, traffic state, rectifier losses, battery charging and cooling location. Sum manufacturer heat dissipation, or measured real input minus power exported by RF/PoE/DC and stored in batteries, allocated to this room. Avoid subtracting RF twice if manufacturer heat already excludes it. Rack dimensions and PSU capacity are not heat values. D/E remain blank.</t>
        </is>
      </c>
      <c r="AE108" s="97" t="str">
        <v>EQ-0103</v>
      </c>
      <c r="AF108" s="98" t="str">
        <v>telecommunications equipment rack</v>
      </c>
      <c r="AG108" s="98" t="str">
        <v>REFERENCE_ONLY</v>
      </c>
      <c r="AH108" s="98" t="str">
        <v>Do not auto-use reference wattage. Resolve the missing heat data or document a project estimate.</v>
      </c>
    </row>
    <row r="109">
      <c r="A109" s="1" t="s">
        <v>390</v>
      </c>
      <c r="B109" s="1" t="s">
        <v>625</v>
      </c>
      <c r="C109" s="13" t="s">
        <v>87</v>
      </c>
      <c r="D109" s="14">
        <v>39.57</v>
      </c>
      <c r="E109" s="14">
        <v>0.0</v>
      </c>
      <c r="F109" s="13" t="s">
        <v>626</v>
      </c>
      <c r="G109" s="18">
        <v>39.57</v>
      </c>
      <c r="H109" s="19">
        <f t="shared" ref="H109:H128" si="3">G109/1000</f>
        <v>0.03957</v>
      </c>
      <c r="I109" s="1" t="s">
        <v>627</v>
      </c>
      <c r="J109" s="1" t="s">
        <v>628</v>
      </c>
      <c r="K109" s="1" t="s">
        <v>629</v>
      </c>
      <c r="L109" s="11" t="s">
        <v>630</v>
      </c>
      <c r="M109" s="1" t="s">
        <v>459</v>
      </c>
      <c r="N109" s="1" t="s">
        <v>42</v>
      </c>
      <c r="O109" s="1" t="s">
        <v>606</v>
      </c>
      <c r="P109" s="1">
        <v>39.57</v>
      </c>
      <c r="Q109" s="1">
        <v>0.0</v>
      </c>
      <c r="R109" s="1" t="s">
        <v>43</v>
      </c>
      <c r="S109" s="1" t="s">
        <v>631</v>
      </c>
      <c r="T109" s="1" t="s">
        <v>627</v>
      </c>
      <c r="U109" s="1" t="s">
        <v>608</v>
      </c>
      <c r="V109" s="1" t="s">
        <v>46</v>
      </c>
      <c r="W109" s="1" t="s">
        <v>47</v>
      </c>
      <c r="X109" s="1" t="s">
        <v>398</v>
      </c>
      <c r="Y109" s="1" t="s">
        <v>399</v>
      </c>
      <c r="Z109" s="1" t="s">
        <v>50</v>
      </c>
      <c r="AA109" s="12">
        <v>39.57</v>
      </c>
      <c r="AB109" s="12">
        <f t="shared" si="2"/>
        <v>0.03957</v>
      </c>
      <c r="AC109" s="13" t="s">
        <v>51</v>
      </c>
      <c r="AD109" s="13" t="s">
        <v>626</v>
      </c>
      <c r="AE109" s="97" t="str">
        <v>EQ-0104</v>
      </c>
      <c r="AF109" s="98" t="str">
        <v>desktop ups - typical load</v>
      </c>
      <c r="AG109" s="98" t="str">
        <v>CONDITIONAL_MATCH</v>
      </c>
      <c r="AH109" s="98" t="str">
        <v>Match model or supported analogue, operating state, room allocation and all conditions in F. Use D/E only.</v>
      </c>
    </row>
    <row r="110">
      <c r="A110" s="1" t="s">
        <v>390</v>
      </c>
      <c r="B110" s="1" t="s">
        <v>632</v>
      </c>
      <c r="C110" s="13" t="s">
        <v>87</v>
      </c>
      <c r="D110" s="14">
        <v>26.38</v>
      </c>
      <c r="E110" s="14">
        <v>0.0</v>
      </c>
      <c r="F110" s="13" t="s">
        <v>633</v>
      </c>
      <c r="G110" s="18">
        <v>26.38</v>
      </c>
      <c r="H110" s="19">
        <f t="shared" si="3"/>
        <v>0.02638</v>
      </c>
      <c r="I110" s="1" t="s">
        <v>634</v>
      </c>
      <c r="J110" s="1" t="s">
        <v>635</v>
      </c>
      <c r="K110" s="1" t="s">
        <v>636</v>
      </c>
      <c r="L110" s="11" t="s">
        <v>637</v>
      </c>
      <c r="M110" s="1" t="s">
        <v>524</v>
      </c>
      <c r="N110" s="1" t="s">
        <v>42</v>
      </c>
      <c r="O110" s="1" t="s">
        <v>606</v>
      </c>
      <c r="P110" s="1">
        <v>26.38</v>
      </c>
      <c r="Q110" s="1">
        <v>0.0</v>
      </c>
      <c r="R110" s="1" t="s">
        <v>43</v>
      </c>
      <c r="S110" s="1" t="s">
        <v>638</v>
      </c>
      <c r="T110" s="1" t="s">
        <v>634</v>
      </c>
      <c r="U110" s="1" t="s">
        <v>639</v>
      </c>
      <c r="V110" s="1" t="s">
        <v>46</v>
      </c>
      <c r="W110" s="1" t="s">
        <v>47</v>
      </c>
      <c r="X110" s="1" t="s">
        <v>398</v>
      </c>
      <c r="Y110" s="1" t="s">
        <v>399</v>
      </c>
      <c r="Z110" s="1" t="s">
        <v>50</v>
      </c>
      <c r="AA110" s="12">
        <v>26.38</v>
      </c>
      <c r="AB110" s="12">
        <f t="shared" si="2"/>
        <v>0.02638</v>
      </c>
      <c r="AC110" s="13" t="s">
        <v>51</v>
      </c>
      <c r="AD110" s="13" t="s">
        <v>633</v>
      </c>
      <c r="AE110" s="97" t="str">
        <v>EQ-0105</v>
      </c>
      <c r="AF110" s="98" t="str">
        <v>network rack ups - losses only</v>
      </c>
      <c r="AG110" s="98" t="str">
        <v>CONDITIONAL_MATCH</v>
      </c>
      <c r="AH110" s="98" t="str">
        <v>Match model or supported analogue, operating state, room allocation and all conditions in F. Use D/E only.</v>
      </c>
    </row>
    <row r="111">
      <c r="A111" s="1" t="s">
        <v>390</v>
      </c>
      <c r="B111" s="1" t="s">
        <v>640</v>
      </c>
      <c r="C111" s="13" t="s">
        <v>35</v>
      </c>
      <c r="D111" s="14">
        <v>6.0</v>
      </c>
      <c r="E111" s="14">
        <v>0.0</v>
      </c>
      <c r="F111" s="13" t="s">
        <v>641</v>
      </c>
      <c r="G111" s="18">
        <v>6.0</v>
      </c>
      <c r="H111" s="19">
        <f t="shared" si="3"/>
        <v>0.006</v>
      </c>
      <c r="I111" s="1" t="s">
        <v>642</v>
      </c>
      <c r="J111" s="1" t="s">
        <v>643</v>
      </c>
      <c r="K111" s="1" t="s">
        <v>644</v>
      </c>
      <c r="L111" s="11" t="s">
        <v>645</v>
      </c>
      <c r="M111" s="1" t="s">
        <v>459</v>
      </c>
      <c r="N111" s="1" t="s">
        <v>567</v>
      </c>
      <c r="O111" s="1">
        <v>30.0</v>
      </c>
      <c r="P111" s="1">
        <v>6.0</v>
      </c>
      <c r="Q111" s="1">
        <v>0.0</v>
      </c>
      <c r="R111" s="1" t="s">
        <v>43</v>
      </c>
      <c r="S111" s="1" t="s">
        <v>646</v>
      </c>
      <c r="T111" s="1" t="s">
        <v>642</v>
      </c>
      <c r="U111" s="1" t="s">
        <v>461</v>
      </c>
      <c r="V111" s="1" t="s">
        <v>46</v>
      </c>
      <c r="W111" s="1" t="s">
        <v>47</v>
      </c>
      <c r="X111" s="1" t="s">
        <v>48</v>
      </c>
      <c r="Y111" s="1" t="s">
        <v>49</v>
      </c>
      <c r="Z111" s="1" t="s">
        <v>50</v>
      </c>
      <c r="AA111" s="12">
        <v>6.0</v>
      </c>
      <c r="AB111" s="12">
        <f t="shared" si="2"/>
        <v>0.006</v>
      </c>
      <c r="AC111" s="13" t="s">
        <v>51</v>
      </c>
      <c r="AD111" s="13" t="s">
        <v>641</v>
      </c>
      <c r="AE111" s="97" t="str">
        <v>EQ-0106</v>
      </c>
      <c r="AF111" s="98" t="str">
        <v>poe injector</v>
      </c>
      <c r="AG111" s="98" t="str">
        <v>CONDITIONAL_MATCH</v>
      </c>
      <c r="AH111" s="98" t="str">
        <v>Match model or supported analogue, operating state, room allocation and all conditions in F. Use D/E only.</v>
      </c>
    </row>
    <row r="112">
      <c r="A112" s="1" t="s">
        <v>390</v>
      </c>
      <c r="B112" s="1" t="s">
        <v>647</v>
      </c>
      <c r="C112" s="13" t="s">
        <v>87</v>
      </c>
      <c r="D112" s="14">
        <v>3.5</v>
      </c>
      <c r="E112" s="14">
        <v>0.0</v>
      </c>
      <c r="F112" s="13" t="s">
        <v>648</v>
      </c>
      <c r="G112" s="18">
        <v>3.5</v>
      </c>
      <c r="H112" s="19">
        <f t="shared" si="3"/>
        <v>0.0035</v>
      </c>
      <c r="I112" s="1" t="s">
        <v>649</v>
      </c>
      <c r="J112" s="1" t="s">
        <v>650</v>
      </c>
      <c r="K112" s="1" t="s">
        <v>651</v>
      </c>
      <c r="L112" s="11" t="s">
        <v>652</v>
      </c>
      <c r="M112" s="1" t="s">
        <v>459</v>
      </c>
      <c r="N112" s="1" t="s">
        <v>42</v>
      </c>
      <c r="O112" s="1">
        <v>3.5</v>
      </c>
      <c r="P112" s="1">
        <v>3.5</v>
      </c>
      <c r="Q112" s="1">
        <v>0.0</v>
      </c>
      <c r="R112" s="1" t="s">
        <v>43</v>
      </c>
      <c r="S112" s="1" t="s">
        <v>653</v>
      </c>
      <c r="T112" s="1" t="s">
        <v>649</v>
      </c>
      <c r="U112" s="1" t="s">
        <v>461</v>
      </c>
      <c r="V112" s="1" t="s">
        <v>46</v>
      </c>
      <c r="W112" s="1" t="s">
        <v>47</v>
      </c>
      <c r="X112" s="1" t="s">
        <v>174</v>
      </c>
      <c r="Y112" s="1" t="s">
        <v>175</v>
      </c>
      <c r="Z112" s="1" t="s">
        <v>50</v>
      </c>
      <c r="AA112" s="12">
        <v>3.5</v>
      </c>
      <c r="AB112" s="12">
        <f t="shared" si="2"/>
        <v>0.0035</v>
      </c>
      <c r="AC112" s="13" t="s">
        <v>51</v>
      </c>
      <c r="AD112" s="13" t="s">
        <v>648</v>
      </c>
      <c r="AE112" s="97" t="str">
        <v>EQ-0107</v>
      </c>
      <c r="AF112" s="98" t="str">
        <v>fibre-optic network terminal</v>
      </c>
      <c r="AG112" s="98" t="str">
        <v>CONDITIONAL_MATCH</v>
      </c>
      <c r="AH112" s="98" t="str">
        <v>Match model or supported analogue, operating state, room allocation and all conditions in F. Use D/E only.</v>
      </c>
    </row>
    <row r="113">
      <c r="A113" s="1" t="s">
        <v>127</v>
      </c>
      <c r="B113" s="1" t="s">
        <v>654</v>
      </c>
      <c r="C113" s="13" t="s">
        <v>87</v>
      </c>
      <c r="D113" s="14">
        <v>12.0</v>
      </c>
      <c r="E113" s="14">
        <v>0.0</v>
      </c>
      <c r="F113" s="13" t="s">
        <v>655</v>
      </c>
      <c r="G113" s="18">
        <v>12.0</v>
      </c>
      <c r="H113" s="19">
        <f t="shared" si="3"/>
        <v>0.012</v>
      </c>
      <c r="I113" s="1" t="s">
        <v>656</v>
      </c>
      <c r="J113" s="1" t="s">
        <v>657</v>
      </c>
      <c r="K113" s="1" t="s">
        <v>658</v>
      </c>
      <c r="L113" s="11" t="s">
        <v>659</v>
      </c>
      <c r="M113" s="1" t="s">
        <v>524</v>
      </c>
      <c r="N113" s="1" t="s">
        <v>42</v>
      </c>
      <c r="O113" s="1">
        <v>12.0</v>
      </c>
      <c r="P113" s="1">
        <v>12.0</v>
      </c>
      <c r="Q113" s="1">
        <v>0.0</v>
      </c>
      <c r="R113" s="1" t="s">
        <v>134</v>
      </c>
      <c r="S113" s="1" t="s">
        <v>660</v>
      </c>
      <c r="T113" s="1" t="s">
        <v>656</v>
      </c>
      <c r="U113" s="1" t="s">
        <v>526</v>
      </c>
      <c r="V113" s="1" t="s">
        <v>46</v>
      </c>
      <c r="W113" s="1" t="s">
        <v>47</v>
      </c>
      <c r="X113" s="1" t="s">
        <v>48</v>
      </c>
      <c r="Y113" s="1" t="s">
        <v>49</v>
      </c>
      <c r="Z113" s="1" t="s">
        <v>50</v>
      </c>
      <c r="AA113" s="12">
        <v>12.0</v>
      </c>
      <c r="AB113" s="12">
        <f t="shared" si="2"/>
        <v>0.012</v>
      </c>
      <c r="AC113" s="13" t="s">
        <v>51</v>
      </c>
      <c r="AD113" s="13" t="s">
        <v>655</v>
      </c>
      <c r="AE113" s="97" t="str">
        <v>EQ-0108</v>
      </c>
      <c r="AF113" s="98" t="str">
        <v>inkjet printer - desktop</v>
      </c>
      <c r="AG113" s="98" t="str">
        <v>CONDITIONAL_MATCH</v>
      </c>
      <c r="AH113" s="98" t="str">
        <v>Match model or supported analogue, operating state, room allocation and all conditions in F. Use D/E only.</v>
      </c>
    </row>
    <row r="114">
      <c r="A114" s="1" t="s">
        <v>127</v>
      </c>
      <c r="B114" s="1" t="s">
        <v>661</v>
      </c>
      <c r="C114" s="13" t="s">
        <v>87</v>
      </c>
      <c r="D114" s="14">
        <v>850.0</v>
      </c>
      <c r="E114" s="14">
        <v>0.0</v>
      </c>
      <c r="F114" s="13" t="s">
        <v>662</v>
      </c>
      <c r="G114" s="18">
        <v>850.0</v>
      </c>
      <c r="H114" s="19">
        <f t="shared" si="3"/>
        <v>0.85</v>
      </c>
      <c r="I114" s="1" t="s">
        <v>663</v>
      </c>
      <c r="J114" s="1" t="s">
        <v>664</v>
      </c>
      <c r="K114" s="1" t="s">
        <v>665</v>
      </c>
      <c r="L114" s="11" t="s">
        <v>666</v>
      </c>
      <c r="M114" s="1" t="s">
        <v>459</v>
      </c>
      <c r="N114" s="1" t="s">
        <v>42</v>
      </c>
      <c r="O114" s="1">
        <v>850.0</v>
      </c>
      <c r="P114" s="1">
        <v>850.0</v>
      </c>
      <c r="Q114" s="1">
        <v>0.0</v>
      </c>
      <c r="R114" s="1" t="s">
        <v>134</v>
      </c>
      <c r="S114" s="1" t="s">
        <v>667</v>
      </c>
      <c r="T114" s="1" t="s">
        <v>663</v>
      </c>
      <c r="U114" s="1" t="s">
        <v>461</v>
      </c>
      <c r="V114" s="1" t="s">
        <v>46</v>
      </c>
      <c r="W114" s="1" t="s">
        <v>47</v>
      </c>
      <c r="X114" s="1" t="s">
        <v>48</v>
      </c>
      <c r="Y114" s="1" t="s">
        <v>49</v>
      </c>
      <c r="Z114" s="1" t="s">
        <v>50</v>
      </c>
      <c r="AA114" s="12">
        <v>850.0</v>
      </c>
      <c r="AB114" s="12">
        <f t="shared" si="2"/>
        <v>0.85</v>
      </c>
      <c r="AC114" s="13" t="s">
        <v>51</v>
      </c>
      <c r="AD114" s="13" t="s">
        <v>662</v>
      </c>
      <c r="AE114" s="97" t="str">
        <v>EQ-0109</v>
      </c>
      <c r="AF114" s="98" t="str">
        <v>high-speed laser printer - floor-standing</v>
      </c>
      <c r="AG114" s="98" t="str">
        <v>CONDITIONAL_MATCH</v>
      </c>
      <c r="AH114" s="98" t="str">
        <v>Match model or supported analogue, operating state, room allocation and all conditions in F. Use D/E only.</v>
      </c>
    </row>
    <row r="115">
      <c r="A115" s="1" t="s">
        <v>127</v>
      </c>
      <c r="B115" s="1" t="s">
        <v>668</v>
      </c>
      <c r="C115" s="13" t="s">
        <v>87</v>
      </c>
      <c r="D115" s="14">
        <v>850.0</v>
      </c>
      <c r="E115" s="14">
        <v>0.0</v>
      </c>
      <c r="F115" s="13" t="s">
        <v>662</v>
      </c>
      <c r="G115" s="18">
        <v>850.0</v>
      </c>
      <c r="H115" s="19">
        <f t="shared" si="3"/>
        <v>0.85</v>
      </c>
      <c r="I115" s="1" t="s">
        <v>663</v>
      </c>
      <c r="J115" s="1" t="s">
        <v>664</v>
      </c>
      <c r="K115" s="1" t="s">
        <v>665</v>
      </c>
      <c r="L115" s="11" t="s">
        <v>666</v>
      </c>
      <c r="M115" s="1" t="s">
        <v>459</v>
      </c>
      <c r="N115" s="1" t="s">
        <v>42</v>
      </c>
      <c r="O115" s="1">
        <v>850.0</v>
      </c>
      <c r="P115" s="1">
        <v>850.0</v>
      </c>
      <c r="Q115" s="1">
        <v>0.0</v>
      </c>
      <c r="R115" s="1" t="s">
        <v>134</v>
      </c>
      <c r="S115" s="1" t="s">
        <v>667</v>
      </c>
      <c r="T115" s="1" t="s">
        <v>663</v>
      </c>
      <c r="U115" s="1" t="s">
        <v>461</v>
      </c>
      <c r="V115" s="1" t="s">
        <v>46</v>
      </c>
      <c r="W115" s="1" t="s">
        <v>47</v>
      </c>
      <c r="X115" s="1" t="s">
        <v>48</v>
      </c>
      <c r="Y115" s="1" t="s">
        <v>49</v>
      </c>
      <c r="Z115" s="1" t="s">
        <v>50</v>
      </c>
      <c r="AA115" s="12">
        <v>850.0</v>
      </c>
      <c r="AB115" s="12">
        <f t="shared" si="2"/>
        <v>0.85</v>
      </c>
      <c r="AC115" s="13" t="s">
        <v>51</v>
      </c>
      <c r="AD115" s="13" t="s">
        <v>662</v>
      </c>
      <c r="AE115" s="97" t="str">
        <v>EQ-0110</v>
      </c>
      <c r="AF115" s="98" t="str">
        <v>photocopier - high-volume</v>
      </c>
      <c r="AG115" s="98" t="str">
        <v>CONDITIONAL_MATCH</v>
      </c>
      <c r="AH115" s="98" t="str">
        <v>Match model or supported analogue, operating state, room allocation and all conditions in F. Use D/E only.</v>
      </c>
    </row>
    <row r="116">
      <c r="A116" s="1" t="s">
        <v>127</v>
      </c>
      <c r="B116" s="1" t="s">
        <v>669</v>
      </c>
      <c r="C116" s="13" t="s">
        <v>87</v>
      </c>
      <c r="D116" s="14">
        <v>2200.0</v>
      </c>
      <c r="E116" s="14">
        <v>0.0</v>
      </c>
      <c r="F116" s="13" t="s">
        <v>670</v>
      </c>
      <c r="G116" s="18">
        <v>2200.0</v>
      </c>
      <c r="H116" s="19">
        <f t="shared" si="3"/>
        <v>2.2</v>
      </c>
      <c r="I116" s="1" t="s">
        <v>671</v>
      </c>
      <c r="J116" s="1" t="s">
        <v>672</v>
      </c>
      <c r="K116" s="1" t="s">
        <v>673</v>
      </c>
      <c r="L116" s="11" t="s">
        <v>674</v>
      </c>
      <c r="M116" s="1" t="s">
        <v>459</v>
      </c>
      <c r="N116" s="1" t="s">
        <v>42</v>
      </c>
      <c r="O116" s="1">
        <v>2200.0</v>
      </c>
      <c r="P116" s="1">
        <v>2200.0</v>
      </c>
      <c r="Q116" s="1">
        <v>0.0</v>
      </c>
      <c r="R116" s="1" t="s">
        <v>134</v>
      </c>
      <c r="S116" s="1" t="s">
        <v>675</v>
      </c>
      <c r="T116" s="1" t="s">
        <v>671</v>
      </c>
      <c r="U116" s="1" t="s">
        <v>676</v>
      </c>
      <c r="V116" s="1" t="s">
        <v>46</v>
      </c>
      <c r="W116" s="1" t="s">
        <v>47</v>
      </c>
      <c r="X116" s="1" t="s">
        <v>48</v>
      </c>
      <c r="Y116" s="1" t="s">
        <v>49</v>
      </c>
      <c r="Z116" s="1" t="s">
        <v>50</v>
      </c>
      <c r="AA116" s="12">
        <v>2200.0</v>
      </c>
      <c r="AB116" s="12">
        <f t="shared" si="2"/>
        <v>2.2</v>
      </c>
      <c r="AC116" s="13" t="s">
        <v>51</v>
      </c>
      <c r="AD116" s="13" t="s">
        <v>670</v>
      </c>
      <c r="AE116" s="97" t="str">
        <v>EQ-0111</v>
      </c>
      <c r="AF116" s="98" t="str">
        <v>production printing machine</v>
      </c>
      <c r="AG116" s="98" t="str">
        <v>CONDITIONAL_MATCH</v>
      </c>
      <c r="AH116" s="98" t="str">
        <v>Match model or supported analogue, operating state, room allocation and all conditions in F. Use D/E only.</v>
      </c>
    </row>
    <row r="117">
      <c r="A117" s="1" t="s">
        <v>127</v>
      </c>
      <c r="B117" s="1" t="s">
        <v>677</v>
      </c>
      <c r="C117" s="13" t="s">
        <v>35</v>
      </c>
      <c r="D117" s="14">
        <v>620.0</v>
      </c>
      <c r="E117" s="14">
        <v>0.0</v>
      </c>
      <c r="F117" s="13" t="s">
        <v>678</v>
      </c>
      <c r="G117" s="18">
        <v>620.0</v>
      </c>
      <c r="H117" s="19">
        <f t="shared" si="3"/>
        <v>0.62</v>
      </c>
      <c r="I117" s="1" t="s">
        <v>679</v>
      </c>
      <c r="J117" s="1" t="s">
        <v>680</v>
      </c>
      <c r="K117" s="1" t="s">
        <v>681</v>
      </c>
      <c r="L117" s="11" t="s">
        <v>682</v>
      </c>
      <c r="M117" s="1" t="s">
        <v>459</v>
      </c>
      <c r="N117" s="1" t="s">
        <v>42</v>
      </c>
      <c r="O117" s="1">
        <v>620.0</v>
      </c>
      <c r="P117" s="1">
        <v>620.0</v>
      </c>
      <c r="Q117" s="1">
        <v>0.0</v>
      </c>
      <c r="R117" s="1" t="s">
        <v>134</v>
      </c>
      <c r="S117" s="1" t="s">
        <v>683</v>
      </c>
      <c r="T117" s="1" t="s">
        <v>679</v>
      </c>
      <c r="U117" s="1" t="s">
        <v>461</v>
      </c>
      <c r="V117" s="1" t="s">
        <v>46</v>
      </c>
      <c r="W117" s="1" t="s">
        <v>47</v>
      </c>
      <c r="X117" s="1" t="s">
        <v>48</v>
      </c>
      <c r="Y117" s="1" t="s">
        <v>49</v>
      </c>
      <c r="Z117" s="1" t="s">
        <v>50</v>
      </c>
      <c r="AA117" s="12">
        <v>620.0</v>
      </c>
      <c r="AB117" s="12">
        <f t="shared" si="2"/>
        <v>0.62</v>
      </c>
      <c r="AC117" s="13" t="s">
        <v>51</v>
      </c>
      <c r="AD117" s="13" t="s">
        <v>678</v>
      </c>
      <c r="AE117" s="97" t="str">
        <v>EQ-0112</v>
      </c>
      <c r="AF117" s="98" t="str">
        <v>laminator</v>
      </c>
      <c r="AG117" s="98" t="str">
        <v>CONDITIONAL_MATCH</v>
      </c>
      <c r="AH117" s="98" t="str">
        <v>Match model or supported analogue, operating state, room allocation and all conditions in F. Use D/E only.</v>
      </c>
    </row>
    <row r="118">
      <c r="A118" s="1" t="s">
        <v>127</v>
      </c>
      <c r="B118" s="1" t="s">
        <v>684</v>
      </c>
      <c r="C118" s="13" t="s">
        <v>53</v>
      </c>
      <c r="D118" s="14">
        <v>29.0</v>
      </c>
      <c r="E118" s="14">
        <v>0.0</v>
      </c>
      <c r="F118" s="7" t="s">
        <v>685</v>
      </c>
      <c r="G118" s="18">
        <v>29.0</v>
      </c>
      <c r="H118" s="20">
        <f t="shared" si="3"/>
        <v>0.029</v>
      </c>
      <c r="I118" s="1" t="s">
        <v>205</v>
      </c>
      <c r="J118" s="1" t="s">
        <v>686</v>
      </c>
      <c r="K118" s="1" t="s">
        <v>207</v>
      </c>
      <c r="L118" s="11" t="s">
        <v>58</v>
      </c>
      <c r="M118" s="2" t="s">
        <v>687</v>
      </c>
      <c r="N118" s="2" t="s">
        <v>42</v>
      </c>
      <c r="O118" s="2" t="s">
        <v>67</v>
      </c>
      <c r="P118" s="1" t="s">
        <v>68</v>
      </c>
      <c r="Q118" s="1" t="s">
        <v>68</v>
      </c>
      <c r="R118" s="1" t="s">
        <v>134</v>
      </c>
      <c r="S118" s="1" t="s">
        <v>69</v>
      </c>
      <c r="T118" s="1" t="s">
        <v>205</v>
      </c>
      <c r="U118" s="1" t="s">
        <v>70</v>
      </c>
      <c r="V118" s="1" t="s">
        <v>46</v>
      </c>
      <c r="W118" s="1" t="s">
        <v>47</v>
      </c>
      <c r="X118" s="1" t="s">
        <v>48</v>
      </c>
      <c r="Y118" s="1" t="s">
        <v>49</v>
      </c>
      <c r="Z118" s="1" t="s">
        <v>50</v>
      </c>
      <c r="AA118" s="12">
        <v>29.0</v>
      </c>
      <c r="AB118" s="12">
        <f t="shared" si="2"/>
        <v>0.029</v>
      </c>
      <c r="AC118" s="13" t="s">
        <v>51</v>
      </c>
      <c r="AD118" s="13" t="s">
        <v>685</v>
      </c>
      <c r="AE118" s="97" t="str">
        <v>EQ-0113</v>
      </c>
      <c r="AF118" s="98" t="str">
        <v>binding machine - electric</v>
      </c>
      <c r="AG118" s="98" t="str">
        <v>CONDITIONAL_MATCH</v>
      </c>
      <c r="AH118" s="98" t="str">
        <v>Match model or supported analogue, operating state, room allocation and all conditions in F. Use D/E only.</v>
      </c>
    </row>
    <row r="119">
      <c r="A119" s="1" t="s">
        <v>127</v>
      </c>
      <c r="B119" s="1" t="s">
        <v>688</v>
      </c>
      <c r="C119" s="13" t="s">
        <v>35</v>
      </c>
      <c r="D119" s="14">
        <v>100.0</v>
      </c>
      <c r="E119" s="14">
        <v>0.0</v>
      </c>
      <c r="F119" s="13" t="s">
        <v>689</v>
      </c>
      <c r="G119" s="18">
        <v>100.0</v>
      </c>
      <c r="H119" s="19">
        <f t="shared" si="3"/>
        <v>0.1</v>
      </c>
      <c r="I119" s="1" t="s">
        <v>690</v>
      </c>
      <c r="J119" s="1" t="s">
        <v>691</v>
      </c>
      <c r="K119" s="1" t="s">
        <v>692</v>
      </c>
      <c r="L119" s="11" t="s">
        <v>693</v>
      </c>
      <c r="M119" s="1" t="s">
        <v>459</v>
      </c>
      <c r="N119" s="1" t="s">
        <v>42</v>
      </c>
      <c r="O119" s="1">
        <v>100.0</v>
      </c>
      <c r="P119" s="1">
        <v>100.0</v>
      </c>
      <c r="Q119" s="1">
        <v>0.0</v>
      </c>
      <c r="R119" s="1" t="s">
        <v>134</v>
      </c>
      <c r="S119" s="1" t="s">
        <v>694</v>
      </c>
      <c r="T119" s="1" t="s">
        <v>690</v>
      </c>
      <c r="U119" s="1" t="s">
        <v>461</v>
      </c>
      <c r="V119" s="1" t="s">
        <v>46</v>
      </c>
      <c r="W119" s="1" t="s">
        <v>47</v>
      </c>
      <c r="X119" s="1" t="s">
        <v>48</v>
      </c>
      <c r="Y119" s="1" t="s">
        <v>49</v>
      </c>
      <c r="Z119" s="1" t="s">
        <v>50</v>
      </c>
      <c r="AA119" s="12">
        <v>100.0</v>
      </c>
      <c r="AB119" s="12">
        <f t="shared" si="2"/>
        <v>0.1</v>
      </c>
      <c r="AC119" s="13" t="s">
        <v>51</v>
      </c>
      <c r="AD119" s="13" t="s">
        <v>689</v>
      </c>
      <c r="AE119" s="97" t="str">
        <v>EQ-0114</v>
      </c>
      <c r="AF119" s="98" t="str">
        <v>paper folding machine</v>
      </c>
      <c r="AG119" s="98" t="str">
        <v>CONDITIONAL_MATCH</v>
      </c>
      <c r="AH119" s="98" t="str">
        <v>Match model or supported analogue, operating state, room allocation and all conditions in F. Use D/E only.</v>
      </c>
    </row>
    <row r="120">
      <c r="A120" s="1" t="s">
        <v>127</v>
      </c>
      <c r="B120" s="1" t="s">
        <v>695</v>
      </c>
      <c r="C120" s="13" t="s">
        <v>87</v>
      </c>
      <c r="D120" s="14">
        <v>40.0</v>
      </c>
      <c r="E120" s="14">
        <v>0.0</v>
      </c>
      <c r="F120" s="13" t="s">
        <v>696</v>
      </c>
      <c r="G120" s="18">
        <v>40.0</v>
      </c>
      <c r="H120" s="19">
        <f t="shared" si="3"/>
        <v>0.04</v>
      </c>
      <c r="I120" s="1" t="s">
        <v>697</v>
      </c>
      <c r="J120" s="1" t="s">
        <v>698</v>
      </c>
      <c r="K120" s="1" t="s">
        <v>699</v>
      </c>
      <c r="L120" s="11" t="s">
        <v>700</v>
      </c>
      <c r="M120" s="1" t="s">
        <v>459</v>
      </c>
      <c r="N120" s="1" t="s">
        <v>42</v>
      </c>
      <c r="O120" s="1">
        <v>40.0</v>
      </c>
      <c r="P120" s="1">
        <v>40.0</v>
      </c>
      <c r="Q120" s="1">
        <v>0.0</v>
      </c>
      <c r="R120" s="1" t="s">
        <v>134</v>
      </c>
      <c r="S120" s="1" t="s">
        <v>701</v>
      </c>
      <c r="T120" s="1" t="s">
        <v>697</v>
      </c>
      <c r="U120" s="1" t="s">
        <v>676</v>
      </c>
      <c r="V120" s="1" t="s">
        <v>46</v>
      </c>
      <c r="W120" s="1" t="s">
        <v>47</v>
      </c>
      <c r="X120" s="1" t="s">
        <v>48</v>
      </c>
      <c r="Y120" s="1" t="s">
        <v>49</v>
      </c>
      <c r="Z120" s="1" t="s">
        <v>50</v>
      </c>
      <c r="AA120" s="12">
        <v>40.0</v>
      </c>
      <c r="AB120" s="12">
        <f t="shared" si="2"/>
        <v>0.04</v>
      </c>
      <c r="AC120" s="13" t="s">
        <v>51</v>
      </c>
      <c r="AD120" s="13" t="s">
        <v>696</v>
      </c>
      <c r="AE120" s="97" t="str">
        <v>EQ-0115</v>
      </c>
      <c r="AF120" s="98" t="str">
        <v>franking / postage machine</v>
      </c>
      <c r="AG120" s="98" t="str">
        <v>CONDITIONAL_MATCH</v>
      </c>
      <c r="AH120" s="98" t="str">
        <v>Match model or supported analogue, operating state, room allocation and all conditions in F. Use D/E only.</v>
      </c>
    </row>
    <row r="121">
      <c r="A121" s="1" t="s">
        <v>127</v>
      </c>
      <c r="B121" s="1" t="s">
        <v>702</v>
      </c>
      <c r="C121" s="13" t="s">
        <v>53</v>
      </c>
      <c r="D121" s="14">
        <v>1.5</v>
      </c>
      <c r="E121" s="14">
        <v>0.0</v>
      </c>
      <c r="F121" s="13" t="s">
        <v>703</v>
      </c>
      <c r="G121" s="18">
        <v>1.5</v>
      </c>
      <c r="H121" s="19">
        <f t="shared" si="3"/>
        <v>0.0015</v>
      </c>
      <c r="I121" s="1" t="s">
        <v>704</v>
      </c>
      <c r="J121" s="1" t="s">
        <v>705</v>
      </c>
      <c r="K121" s="1" t="s">
        <v>706</v>
      </c>
      <c r="L121" s="11" t="s">
        <v>58</v>
      </c>
      <c r="M121" s="1" t="s">
        <v>459</v>
      </c>
      <c r="N121" s="1" t="s">
        <v>42</v>
      </c>
      <c r="O121" s="1" t="s">
        <v>606</v>
      </c>
      <c r="P121" s="1" t="s">
        <v>486</v>
      </c>
      <c r="Q121" s="1" t="s">
        <v>486</v>
      </c>
      <c r="R121" s="1" t="s">
        <v>134</v>
      </c>
      <c r="S121" s="1" t="s">
        <v>707</v>
      </c>
      <c r="T121" s="1" t="s">
        <v>704</v>
      </c>
      <c r="U121" s="1" t="s">
        <v>608</v>
      </c>
      <c r="V121" s="1" t="s">
        <v>46</v>
      </c>
      <c r="W121" s="1" t="s">
        <v>47</v>
      </c>
      <c r="X121" s="1" t="s">
        <v>48</v>
      </c>
      <c r="Y121" s="1" t="s">
        <v>49</v>
      </c>
      <c r="Z121" s="1" t="s">
        <v>50</v>
      </c>
      <c r="AA121" s="12">
        <v>1.5</v>
      </c>
      <c r="AB121" s="12">
        <f t="shared" si="2"/>
        <v>0.0015</v>
      </c>
      <c r="AC121" s="13" t="s">
        <v>51</v>
      </c>
      <c r="AD121" s="13" t="s">
        <v>703</v>
      </c>
      <c r="AE121" s="97" t="str">
        <v>EQ-0116</v>
      </c>
      <c r="AF121" s="98" t="str">
        <v>electric stapler</v>
      </c>
      <c r="AG121" s="98" t="str">
        <v>CONDITIONAL_MATCH</v>
      </c>
      <c r="AH121" s="98" t="str">
        <v>Match model or supported analogue, operating state, room allocation and all conditions in F. Use D/E only.</v>
      </c>
    </row>
    <row r="122">
      <c r="A122" s="1" t="s">
        <v>127</v>
      </c>
      <c r="B122" s="1" t="s">
        <v>708</v>
      </c>
      <c r="C122" s="13" t="s">
        <v>87</v>
      </c>
      <c r="D122" s="14">
        <v>4000.0</v>
      </c>
      <c r="E122" s="14">
        <v>0.0</v>
      </c>
      <c r="F122" s="13" t="s">
        <v>709</v>
      </c>
      <c r="G122" s="18">
        <v>4000.0</v>
      </c>
      <c r="H122" s="19">
        <f t="shared" si="3"/>
        <v>4</v>
      </c>
      <c r="I122" s="1" t="s">
        <v>710</v>
      </c>
      <c r="J122" s="1" t="s">
        <v>711</v>
      </c>
      <c r="K122" s="1" t="s">
        <v>712</v>
      </c>
      <c r="L122" s="11" t="s">
        <v>713</v>
      </c>
      <c r="M122" s="1" t="s">
        <v>459</v>
      </c>
      <c r="N122" s="1" t="s">
        <v>42</v>
      </c>
      <c r="O122" s="1">
        <v>4000.0</v>
      </c>
      <c r="P122" s="1">
        <v>4000.0</v>
      </c>
      <c r="Q122" s="1">
        <v>0.0</v>
      </c>
      <c r="R122" s="1" t="s">
        <v>134</v>
      </c>
      <c r="S122" s="1" t="s">
        <v>714</v>
      </c>
      <c r="T122" s="1" t="s">
        <v>710</v>
      </c>
      <c r="U122" s="1" t="s">
        <v>461</v>
      </c>
      <c r="V122" s="1" t="s">
        <v>46</v>
      </c>
      <c r="W122" s="1" t="s">
        <v>47</v>
      </c>
      <c r="X122" s="1" t="s">
        <v>48</v>
      </c>
      <c r="Y122" s="1" t="s">
        <v>49</v>
      </c>
      <c r="Z122" s="1" t="s">
        <v>50</v>
      </c>
      <c r="AA122" s="12">
        <v>4000.0</v>
      </c>
      <c r="AB122" s="12">
        <f t="shared" si="2"/>
        <v>4</v>
      </c>
      <c r="AC122" s="13" t="s">
        <v>51</v>
      </c>
      <c r="AD122" s="13" t="s">
        <v>709</v>
      </c>
      <c r="AE122" s="97" t="str">
        <v>EQ-0117</v>
      </c>
      <c r="AF122" s="98" t="str">
        <v>document destruction machine - industrial</v>
      </c>
      <c r="AG122" s="98" t="str">
        <v>CONDITIONAL_MATCH</v>
      </c>
      <c r="AH122" s="98" t="str">
        <v>Match model or supported analogue, operating state, room allocation and all conditions in F. Use D/E only.</v>
      </c>
    </row>
    <row r="123">
      <c r="A123" s="1" t="s">
        <v>127</v>
      </c>
      <c r="B123" s="1" t="s">
        <v>715</v>
      </c>
      <c r="C123" s="13" t="s">
        <v>87</v>
      </c>
      <c r="D123" s="14">
        <v>150.9</v>
      </c>
      <c r="E123" s="14">
        <v>0.0</v>
      </c>
      <c r="F123" s="13" t="s">
        <v>716</v>
      </c>
      <c r="G123" s="18">
        <v>150.9</v>
      </c>
      <c r="H123" s="19">
        <f t="shared" si="3"/>
        <v>0.1509</v>
      </c>
      <c r="I123" s="1" t="s">
        <v>717</v>
      </c>
      <c r="J123" s="1" t="s">
        <v>718</v>
      </c>
      <c r="K123" s="1" t="s">
        <v>719</v>
      </c>
      <c r="L123" s="11" t="s">
        <v>720</v>
      </c>
      <c r="M123" s="1" t="s">
        <v>524</v>
      </c>
      <c r="N123" s="1" t="s">
        <v>42</v>
      </c>
      <c r="O123" s="1">
        <v>150.9</v>
      </c>
      <c r="P123" s="1">
        <v>150.9</v>
      </c>
      <c r="Q123" s="1">
        <v>0.0</v>
      </c>
      <c r="R123" s="1" t="s">
        <v>134</v>
      </c>
      <c r="S123" s="1" t="s">
        <v>721</v>
      </c>
      <c r="T123" s="1" t="s">
        <v>717</v>
      </c>
      <c r="U123" s="1" t="s">
        <v>559</v>
      </c>
      <c r="V123" s="1" t="s">
        <v>46</v>
      </c>
      <c r="W123" s="1" t="s">
        <v>47</v>
      </c>
      <c r="X123" s="1" t="s">
        <v>48</v>
      </c>
      <c r="Y123" s="1" t="s">
        <v>49</v>
      </c>
      <c r="Z123" s="1" t="s">
        <v>50</v>
      </c>
      <c r="AA123" s="12">
        <v>150.9</v>
      </c>
      <c r="AB123" s="12">
        <f t="shared" si="2"/>
        <v>0.1509</v>
      </c>
      <c r="AC123" s="13" t="s">
        <v>51</v>
      </c>
      <c r="AD123" s="13" t="s">
        <v>716</v>
      </c>
      <c r="AE123" s="97" t="str">
        <v>EQ-0118</v>
      </c>
      <c r="AF123" s="98" t="str">
        <v>meeting-room video conferencing system</v>
      </c>
      <c r="AG123" s="98" t="str">
        <v>CONDITIONAL_MATCH</v>
      </c>
      <c r="AH123" s="98" t="str">
        <v>Match model or supported analogue, operating state, room allocation and all conditions in F. Use D/E only.</v>
      </c>
    </row>
    <row r="124">
      <c r="A124" s="1" t="s">
        <v>127</v>
      </c>
      <c r="B124" s="1" t="s">
        <v>722</v>
      </c>
      <c r="C124" s="13" t="s">
        <v>35</v>
      </c>
      <c r="D124" s="14">
        <v>11.0</v>
      </c>
      <c r="E124" s="14">
        <v>0.0</v>
      </c>
      <c r="F124" s="13" t="s">
        <v>723</v>
      </c>
      <c r="G124" s="18">
        <v>11.0</v>
      </c>
      <c r="H124" s="19">
        <f t="shared" si="3"/>
        <v>0.011</v>
      </c>
      <c r="I124" s="1" t="s">
        <v>724</v>
      </c>
      <c r="J124" s="1" t="s">
        <v>725</v>
      </c>
      <c r="K124" s="1" t="s">
        <v>726</v>
      </c>
      <c r="L124" s="11" t="s">
        <v>727</v>
      </c>
      <c r="M124" s="1" t="s">
        <v>459</v>
      </c>
      <c r="N124" s="1" t="s">
        <v>42</v>
      </c>
      <c r="O124" s="1">
        <v>11.0</v>
      </c>
      <c r="P124" s="1">
        <v>11.0</v>
      </c>
      <c r="Q124" s="1">
        <v>0.0</v>
      </c>
      <c r="R124" s="1" t="s">
        <v>134</v>
      </c>
      <c r="S124" s="1" t="s">
        <v>728</v>
      </c>
      <c r="T124" s="1" t="s">
        <v>724</v>
      </c>
      <c r="U124" s="1" t="s">
        <v>676</v>
      </c>
      <c r="V124" s="1" t="s">
        <v>46</v>
      </c>
      <c r="W124" s="1" t="s">
        <v>47</v>
      </c>
      <c r="X124" s="1" t="s">
        <v>48</v>
      </c>
      <c r="Y124" s="1" t="s">
        <v>49</v>
      </c>
      <c r="Z124" s="1" t="s">
        <v>50</v>
      </c>
      <c r="AA124" s="12">
        <v>11.0</v>
      </c>
      <c r="AB124" s="12">
        <f t="shared" si="2"/>
        <v>0.011</v>
      </c>
      <c r="AC124" s="13" t="s">
        <v>51</v>
      </c>
      <c r="AD124" s="13" t="s">
        <v>723</v>
      </c>
      <c r="AE124" s="97" t="str">
        <v>EQ-0119</v>
      </c>
      <c r="AF124" s="98" t="str">
        <v>conference-room speakerphone</v>
      </c>
      <c r="AG124" s="98" t="str">
        <v>CONDITIONAL_MATCH</v>
      </c>
      <c r="AH124" s="98" t="str">
        <v>Match model or supported analogue, operating state, room allocation and all conditions in F. Use D/E only.</v>
      </c>
    </row>
    <row r="125">
      <c r="A125" s="1" t="s">
        <v>127</v>
      </c>
      <c r="B125" s="1" t="s">
        <v>729</v>
      </c>
      <c r="C125" s="13" t="s">
        <v>35</v>
      </c>
      <c r="D125" s="14">
        <v>10.0</v>
      </c>
      <c r="E125" s="14">
        <v>0.0</v>
      </c>
      <c r="F125" s="13" t="s">
        <v>730</v>
      </c>
      <c r="G125" s="18">
        <v>10.0</v>
      </c>
      <c r="H125" s="19">
        <f t="shared" si="3"/>
        <v>0.01</v>
      </c>
      <c r="I125" s="1" t="s">
        <v>731</v>
      </c>
      <c r="J125" s="1" t="s">
        <v>732</v>
      </c>
      <c r="K125" s="1" t="s">
        <v>733</v>
      </c>
      <c r="L125" s="11" t="s">
        <v>734</v>
      </c>
      <c r="M125" s="1" t="s">
        <v>524</v>
      </c>
      <c r="N125" s="1" t="s">
        <v>42</v>
      </c>
      <c r="O125" s="1">
        <v>10.0</v>
      </c>
      <c r="P125" s="1">
        <v>10.0</v>
      </c>
      <c r="Q125" s="1">
        <v>0.0</v>
      </c>
      <c r="R125" s="1" t="s">
        <v>134</v>
      </c>
      <c r="S125" s="1" t="s">
        <v>735</v>
      </c>
      <c r="T125" s="1" t="s">
        <v>731</v>
      </c>
      <c r="U125" s="1" t="s">
        <v>559</v>
      </c>
      <c r="V125" s="1" t="s">
        <v>46</v>
      </c>
      <c r="W125" s="1" t="s">
        <v>47</v>
      </c>
      <c r="X125" s="1" t="s">
        <v>48</v>
      </c>
      <c r="Y125" s="1" t="s">
        <v>49</v>
      </c>
      <c r="Z125" s="1" t="s">
        <v>50</v>
      </c>
      <c r="AA125" s="12">
        <v>10.0</v>
      </c>
      <c r="AB125" s="12">
        <f t="shared" si="2"/>
        <v>0.01</v>
      </c>
      <c r="AC125" s="13" t="s">
        <v>51</v>
      </c>
      <c r="AD125" s="13" t="s">
        <v>730</v>
      </c>
      <c r="AE125" s="97" t="str">
        <v>EQ-0120</v>
      </c>
      <c r="AF125" s="98" t="str">
        <v>wireless presentation system</v>
      </c>
      <c r="AG125" s="98" t="str">
        <v>CONDITIONAL_MATCH</v>
      </c>
      <c r="AH125" s="98" t="str">
        <v>Match model or supported analogue, operating state, room allocation and all conditions in F. Use D/E only.</v>
      </c>
    </row>
    <row r="126">
      <c r="A126" s="1" t="s">
        <v>127</v>
      </c>
      <c r="B126" s="1" t="s">
        <v>736</v>
      </c>
      <c r="C126" s="13" t="s">
        <v>129</v>
      </c>
      <c r="D126" s="14">
        <v>0.1</v>
      </c>
      <c r="E126" s="14">
        <v>0.0</v>
      </c>
      <c r="F126" s="13" t="s">
        <v>737</v>
      </c>
      <c r="G126" s="18">
        <v>0.1</v>
      </c>
      <c r="H126" s="19">
        <f t="shared" si="3"/>
        <v>0.0001</v>
      </c>
      <c r="I126" s="1" t="s">
        <v>738</v>
      </c>
      <c r="J126" s="1" t="s">
        <v>739</v>
      </c>
      <c r="K126" s="1" t="s">
        <v>740</v>
      </c>
      <c r="L126" s="11" t="s">
        <v>741</v>
      </c>
      <c r="M126" s="1" t="s">
        <v>459</v>
      </c>
      <c r="N126" s="1" t="s">
        <v>42</v>
      </c>
      <c r="O126" s="1">
        <v>0.1</v>
      </c>
      <c r="P126" s="1">
        <v>0.1</v>
      </c>
      <c r="Q126" s="1">
        <v>0.0</v>
      </c>
      <c r="R126" s="1" t="s">
        <v>134</v>
      </c>
      <c r="S126" s="1" t="s">
        <v>742</v>
      </c>
      <c r="T126" s="1" t="s">
        <v>738</v>
      </c>
      <c r="U126" s="1" t="s">
        <v>676</v>
      </c>
      <c r="V126" s="1" t="s">
        <v>46</v>
      </c>
      <c r="W126" s="1" t="s">
        <v>47</v>
      </c>
      <c r="X126" s="1" t="s">
        <v>48</v>
      </c>
      <c r="Y126" s="1" t="s">
        <v>49</v>
      </c>
      <c r="Z126" s="1" t="s">
        <v>50</v>
      </c>
      <c r="AA126" s="12">
        <v>0.1</v>
      </c>
      <c r="AB126" s="12">
        <f t="shared" si="2"/>
        <v>0.0001</v>
      </c>
      <c r="AC126" s="13" t="s">
        <v>51</v>
      </c>
      <c r="AD126" s="13" t="s">
        <v>737</v>
      </c>
      <c r="AE126" s="97" t="str">
        <v>EQ-0121</v>
      </c>
      <c r="AF126" s="98" t="str">
        <v>electric sit-stand desk</v>
      </c>
      <c r="AG126" s="98" t="str">
        <v>CONDITIONAL_MATCH</v>
      </c>
      <c r="AH126" s="98" t="str">
        <v>Match model or supported analogue, operating state, room allocation and all conditions in F. Use D/E only.</v>
      </c>
    </row>
    <row r="127">
      <c r="A127" s="1" t="s">
        <v>127</v>
      </c>
      <c r="B127" s="1" t="s">
        <v>743</v>
      </c>
      <c r="C127" s="13" t="s">
        <v>87</v>
      </c>
      <c r="D127" s="14">
        <v>113.7</v>
      </c>
      <c r="E127" s="14">
        <v>0.0</v>
      </c>
      <c r="F127" s="13" t="s">
        <v>553</v>
      </c>
      <c r="G127" s="18">
        <v>113.7</v>
      </c>
      <c r="H127" s="19">
        <f t="shared" si="3"/>
        <v>0.1137</v>
      </c>
      <c r="I127" s="1" t="s">
        <v>554</v>
      </c>
      <c r="J127" s="1" t="s">
        <v>555</v>
      </c>
      <c r="K127" s="1" t="s">
        <v>556</v>
      </c>
      <c r="L127" s="11" t="s">
        <v>557</v>
      </c>
      <c r="M127" s="1" t="s">
        <v>524</v>
      </c>
      <c r="N127" s="1" t="s">
        <v>42</v>
      </c>
      <c r="O127" s="1">
        <v>113.7</v>
      </c>
      <c r="P127" s="1">
        <v>113.7</v>
      </c>
      <c r="Q127" s="1">
        <v>0.0</v>
      </c>
      <c r="R127" s="1" t="s">
        <v>134</v>
      </c>
      <c r="S127" s="1" t="s">
        <v>558</v>
      </c>
      <c r="T127" s="1" t="s">
        <v>554</v>
      </c>
      <c r="U127" s="1" t="s">
        <v>559</v>
      </c>
      <c r="V127" s="1" t="s">
        <v>46</v>
      </c>
      <c r="W127" s="1" t="s">
        <v>47</v>
      </c>
      <c r="X127" s="1" t="s">
        <v>48</v>
      </c>
      <c r="Y127" s="1" t="s">
        <v>49</v>
      </c>
      <c r="Z127" s="1" t="s">
        <v>50</v>
      </c>
      <c r="AA127" s="12">
        <v>113.7</v>
      </c>
      <c r="AB127" s="12">
        <f t="shared" si="2"/>
        <v>0.1137</v>
      </c>
      <c r="AC127" s="13" t="s">
        <v>51</v>
      </c>
      <c r="AD127" s="13" t="s">
        <v>553</v>
      </c>
      <c r="AE127" s="97" t="str">
        <v>EQ-0122</v>
      </c>
      <c r="AF127" s="98" t="str">
        <v>electronic whiteboard / smartboard</v>
      </c>
      <c r="AG127" s="98" t="str">
        <v>CONDITIONAL_MATCH</v>
      </c>
      <c r="AH127" s="98" t="str">
        <v>Match model or supported analogue, operating state, room allocation and all conditions in F. Use D/E only.</v>
      </c>
    </row>
    <row r="128">
      <c r="A128" s="1" t="s">
        <v>212</v>
      </c>
      <c r="B128" s="1" t="s">
        <v>744</v>
      </c>
      <c r="C128" s="13" t="s">
        <v>87</v>
      </c>
      <c r="D128" s="14">
        <v>1.25</v>
      </c>
      <c r="E128" s="14">
        <v>0.0</v>
      </c>
      <c r="F128" s="13" t="s">
        <v>745</v>
      </c>
      <c r="G128" s="18">
        <v>1.25</v>
      </c>
      <c r="H128" s="19">
        <f t="shared" si="3"/>
        <v>0.00125</v>
      </c>
      <c r="I128" s="1" t="s">
        <v>746</v>
      </c>
      <c r="J128" s="1" t="s">
        <v>747</v>
      </c>
      <c r="K128" s="1" t="s">
        <v>748</v>
      </c>
      <c r="L128" s="11" t="s">
        <v>749</v>
      </c>
      <c r="M128" s="1" t="s">
        <v>524</v>
      </c>
      <c r="N128" s="1" t="s">
        <v>42</v>
      </c>
      <c r="O128" s="1">
        <v>1.25</v>
      </c>
      <c r="P128" s="1">
        <v>1.25</v>
      </c>
      <c r="Q128" s="1">
        <v>0.0</v>
      </c>
      <c r="R128" s="1" t="s">
        <v>215</v>
      </c>
      <c r="S128" s="1" t="s">
        <v>750</v>
      </c>
      <c r="T128" s="1" t="s">
        <v>746</v>
      </c>
      <c r="U128" s="1" t="s">
        <v>559</v>
      </c>
      <c r="V128" s="1" t="s">
        <v>46</v>
      </c>
      <c r="W128" s="1" t="s">
        <v>47</v>
      </c>
      <c r="X128" s="1" t="s">
        <v>48</v>
      </c>
      <c r="Y128" s="1" t="s">
        <v>49</v>
      </c>
      <c r="Z128" s="1" t="s">
        <v>50</v>
      </c>
      <c r="AA128" s="12">
        <v>1.25</v>
      </c>
      <c r="AB128" s="12">
        <f t="shared" si="2"/>
        <v>0.00125</v>
      </c>
      <c r="AC128" s="13" t="s">
        <v>51</v>
      </c>
      <c r="AD128" s="13" t="s">
        <v>745</v>
      </c>
      <c r="AE128" s="97" t="str">
        <v>EQ-0123</v>
      </c>
      <c r="AF128" s="98" t="str">
        <v>barcode scanner</v>
      </c>
      <c r="AG128" s="98" t="str">
        <v>CONDITIONAL_MATCH</v>
      </c>
      <c r="AH128" s="98" t="str">
        <v>Match model or supported analogue, operating state, room allocation and all conditions in F. Use D/E only.</v>
      </c>
    </row>
    <row r="129">
      <c r="A129" s="1" t="s">
        <v>212</v>
      </c>
      <c r="B129" s="1" t="s">
        <v>751</v>
      </c>
      <c r="C129" s="13" t="s">
        <v>479</v>
      </c>
      <c r="D129" s="14" t="s">
        <v>67</v>
      </c>
      <c r="E129" s="14" t="s">
        <v>67</v>
      </c>
      <c r="F129" s="7" t="inlineStr">
        <is>
          <t>Further research required if this item is used in the project. USER-REQUESTED HYPOTHETICAL EXAMPLE: 0.001 W (0.000001 kW). Illustrative battery label: assumed 3 V × 0.000333 A time-average current ≈0.001 W; update frequency and full-label current are assumptions, not product data. Assumed for illustration, not sourced or project-approved. Sensible/latent split unverified. Need whole-label average input at the actual update frequency: voltage × time-averaged current, or measured joules per update × updates/second plus standby power, without overlapping standby energy. Chip-only or RF transmit-power specifications do not cover the full label. Account for LED activity, temperature and battery state. Count the gateway separately. No numeric heat value established; do not substitute zero for unknown.</t>
        </is>
      </c>
      <c r="G129" s="18" t="s">
        <v>616</v>
      </c>
      <c r="H129" s="19" t="s">
        <v>616</v>
      </c>
      <c r="I129" s="1" t="s">
        <v>617</v>
      </c>
      <c r="J129" s="1" t="s">
        <v>753</v>
      </c>
      <c r="K129" s="1" t="s">
        <v>754</v>
      </c>
      <c r="L129" s="11" t="s">
        <v>755</v>
      </c>
      <c r="M129" s="1" t="s">
        <v>621</v>
      </c>
      <c r="N129" s="1" t="s">
        <v>42</v>
      </c>
      <c r="O129" s="1" t="s">
        <v>606</v>
      </c>
      <c r="P129" s="1" t="s">
        <v>486</v>
      </c>
      <c r="Q129" s="1" t="s">
        <v>486</v>
      </c>
      <c r="R129" s="1" t="s">
        <v>215</v>
      </c>
      <c r="S129" s="1" t="s">
        <v>756</v>
      </c>
      <c r="T129" s="1" t="s">
        <v>617</v>
      </c>
      <c r="U129" s="1" t="s">
        <v>504</v>
      </c>
      <c r="V129" s="1" t="s">
        <v>200</v>
      </c>
      <c r="W129" s="1" t="s">
        <v>753</v>
      </c>
      <c r="X129" s="1" t="s">
        <v>48</v>
      </c>
      <c r="Y129" s="1" t="s">
        <v>49</v>
      </c>
      <c r="Z129" s="1" t="s">
        <v>50</v>
      </c>
      <c r="AA129" s="16">
        <v>0.001</v>
      </c>
      <c r="AB129" s="16">
        <f t="shared" si="2"/>
        <v>0.000001</v>
      </c>
      <c r="AC129" s="17" t="s">
        <v>623</v>
      </c>
      <c r="AD129" s="17" t="inlineStr">
        <is>
          <t>Further research required if this item is used in the project. Illustrative battery label: assumed 3 V × 0.000333 A time-average current ≈0.001 W; update frequency and full-label current are assumptions, not product data. REQUIRED: Need whole-label average input at the actual update frequency: voltage × time-averaged current, or measured joules per update × updates/second plus standby power, without overlapping standby energy. Chip-only or RF transmit-power specifications do not cover the full label. Account for LED activity, temperature and battery state. Count the gateway separately. No numeric heat value established; do not substitute zero for unknown.</t>
        </is>
      </c>
      <c r="AE129" s="97" t="str">
        <v>EQ-0124</v>
      </c>
      <c r="AF129" s="98" t="str">
        <v>electronic price-label display</v>
      </c>
      <c r="AG129" s="98" t="str">
        <v>REFERENCE_ONLY</v>
      </c>
      <c r="AH129" s="98" t="str">
        <v>Do not auto-use reference wattage. Resolve the missing heat data or document a project estimate.</v>
      </c>
    </row>
    <row r="130">
      <c r="A130" s="1" t="s">
        <v>212</v>
      </c>
      <c r="B130" s="1" t="s">
        <v>758</v>
      </c>
      <c r="C130" s="13" t="s">
        <v>35</v>
      </c>
      <c r="D130" s="14">
        <v>6.0</v>
      </c>
      <c r="E130" s="14">
        <v>0.0</v>
      </c>
      <c r="F130" s="13" t="s">
        <v>759</v>
      </c>
      <c r="G130" s="18">
        <v>6.0</v>
      </c>
      <c r="H130" s="19">
        <f t="shared" ref="H130:H143" si="4">G130/1000</f>
        <v>0.006</v>
      </c>
      <c r="I130" s="1" t="s">
        <v>760</v>
      </c>
      <c r="J130" s="1" t="s">
        <v>761</v>
      </c>
      <c r="K130" s="1" t="s">
        <v>762</v>
      </c>
      <c r="L130" s="11" t="s">
        <v>763</v>
      </c>
      <c r="M130" s="1" t="s">
        <v>459</v>
      </c>
      <c r="N130" s="1" t="s">
        <v>42</v>
      </c>
      <c r="O130" s="1">
        <v>6.0</v>
      </c>
      <c r="P130" s="1">
        <v>6.0</v>
      </c>
      <c r="Q130" s="1">
        <v>0.0</v>
      </c>
      <c r="R130" s="1" t="s">
        <v>215</v>
      </c>
      <c r="S130" s="1" t="s">
        <v>764</v>
      </c>
      <c r="T130" s="1" t="s">
        <v>760</v>
      </c>
      <c r="U130" s="1" t="s">
        <v>676</v>
      </c>
      <c r="V130" s="1" t="s">
        <v>46</v>
      </c>
      <c r="W130" s="1" t="s">
        <v>47</v>
      </c>
      <c r="X130" s="1" t="s">
        <v>48</v>
      </c>
      <c r="Y130" s="1" t="s">
        <v>49</v>
      </c>
      <c r="Z130" s="1" t="s">
        <v>50</v>
      </c>
      <c r="AA130" s="12">
        <v>6.0</v>
      </c>
      <c r="AB130" s="12">
        <f t="shared" si="2"/>
        <v>0.006</v>
      </c>
      <c r="AC130" s="13" t="s">
        <v>51</v>
      </c>
      <c r="AD130" s="13" t="s">
        <v>759</v>
      </c>
      <c r="AE130" s="97" t="str">
        <v>EQ-0125</v>
      </c>
      <c r="AF130" s="98" t="str">
        <v>eftpos terminal</v>
      </c>
      <c r="AG130" s="98" t="str">
        <v>CONDITIONAL_MATCH</v>
      </c>
      <c r="AH130" s="98" t="str">
        <v>Match model or supported analogue, operating state, room allocation and all conditions in F. Use D/E only.</v>
      </c>
    </row>
    <row r="131">
      <c r="A131" s="1" t="s">
        <v>212</v>
      </c>
      <c r="B131" s="1" t="s">
        <v>765</v>
      </c>
      <c r="C131" s="13" t="s">
        <v>87</v>
      </c>
      <c r="D131" s="14">
        <v>27.6</v>
      </c>
      <c r="E131" s="14">
        <v>0.0</v>
      </c>
      <c r="F131" s="13" t="s">
        <v>766</v>
      </c>
      <c r="G131" s="18">
        <v>27.6</v>
      </c>
      <c r="H131" s="19">
        <f t="shared" si="4"/>
        <v>0.0276</v>
      </c>
      <c r="I131" s="1" t="s">
        <v>767</v>
      </c>
      <c r="J131" s="1" t="s">
        <v>768</v>
      </c>
      <c r="K131" s="1" t="s">
        <v>769</v>
      </c>
      <c r="L131" s="11" t="s">
        <v>770</v>
      </c>
      <c r="M131" s="1" t="s">
        <v>524</v>
      </c>
      <c r="N131" s="1" t="s">
        <v>42</v>
      </c>
      <c r="O131" s="1">
        <v>27.6</v>
      </c>
      <c r="P131" s="1">
        <v>27.6</v>
      </c>
      <c r="Q131" s="1">
        <v>0.0</v>
      </c>
      <c r="R131" s="1" t="s">
        <v>215</v>
      </c>
      <c r="S131" s="1" t="s">
        <v>771</v>
      </c>
      <c r="T131" s="1" t="s">
        <v>767</v>
      </c>
      <c r="U131" s="1" t="s">
        <v>559</v>
      </c>
      <c r="V131" s="1" t="s">
        <v>46</v>
      </c>
      <c r="W131" s="1" t="s">
        <v>47</v>
      </c>
      <c r="X131" s="1" t="s">
        <v>48</v>
      </c>
      <c r="Y131" s="1" t="s">
        <v>49</v>
      </c>
      <c r="Z131" s="1" t="s">
        <v>50</v>
      </c>
      <c r="AA131" s="12">
        <v>27.6</v>
      </c>
      <c r="AB131" s="12">
        <f t="shared" si="2"/>
        <v>0.0276</v>
      </c>
      <c r="AC131" s="13" t="s">
        <v>51</v>
      </c>
      <c r="AD131" s="13" t="s">
        <v>766</v>
      </c>
      <c r="AE131" s="97" t="str">
        <v>EQ-0126</v>
      </c>
      <c r="AF131" s="98" t="str">
        <v>receipt printer</v>
      </c>
      <c r="AG131" s="98" t="str">
        <v>CONDITIONAL_MATCH</v>
      </c>
      <c r="AH131" s="98" t="str">
        <v>Match model or supported analogue, operating state, room allocation and all conditions in F. Use D/E only.</v>
      </c>
    </row>
    <row r="132">
      <c r="A132" s="1" t="s">
        <v>212</v>
      </c>
      <c r="B132" s="1" t="s">
        <v>772</v>
      </c>
      <c r="C132" s="13" t="s">
        <v>87</v>
      </c>
      <c r="D132" s="14">
        <v>6.0</v>
      </c>
      <c r="E132" s="14">
        <v>0.0</v>
      </c>
      <c r="F132" s="13" t="s">
        <v>773</v>
      </c>
      <c r="G132" s="18">
        <v>6.0</v>
      </c>
      <c r="H132" s="19">
        <f t="shared" si="4"/>
        <v>0.006</v>
      </c>
      <c r="I132" s="1" t="s">
        <v>774</v>
      </c>
      <c r="J132" s="1" t="s">
        <v>775</v>
      </c>
      <c r="K132" s="1" t="s">
        <v>776</v>
      </c>
      <c r="L132" s="11" t="s">
        <v>777</v>
      </c>
      <c r="M132" s="1" t="s">
        <v>778</v>
      </c>
      <c r="N132" s="1" t="s">
        <v>42</v>
      </c>
      <c r="O132" s="1">
        <v>6.0</v>
      </c>
      <c r="P132" s="1">
        <v>6.0</v>
      </c>
      <c r="Q132" s="1">
        <v>0.0</v>
      </c>
      <c r="R132" s="1" t="s">
        <v>215</v>
      </c>
      <c r="S132" s="1" t="s">
        <v>779</v>
      </c>
      <c r="T132" s="1" t="s">
        <v>774</v>
      </c>
      <c r="U132" s="1" t="s">
        <v>780</v>
      </c>
      <c r="V132" s="1" t="s">
        <v>46</v>
      </c>
      <c r="W132" s="1" t="s">
        <v>47</v>
      </c>
      <c r="X132" s="1" t="s">
        <v>48</v>
      </c>
      <c r="Y132" s="1" t="s">
        <v>49</v>
      </c>
      <c r="Z132" s="1" t="s">
        <v>50</v>
      </c>
      <c r="AA132" s="12">
        <v>6.0</v>
      </c>
      <c r="AB132" s="12">
        <f t="shared" si="2"/>
        <v>0.006</v>
      </c>
      <c r="AC132" s="13" t="s">
        <v>51</v>
      </c>
      <c r="AD132" s="13" t="s">
        <v>773</v>
      </c>
      <c r="AE132" s="97" t="str">
        <v>EQ-0127</v>
      </c>
      <c r="AF132" s="98" t="str">
        <v>cash drawer</v>
      </c>
      <c r="AG132" s="98" t="str">
        <v>CONDITIONAL_MATCH</v>
      </c>
      <c r="AH132" s="98" t="str">
        <v>Match model or supported analogue, operating state, room allocation and all conditions in F. Use D/E only.</v>
      </c>
    </row>
    <row r="133">
      <c r="A133" s="1" t="s">
        <v>212</v>
      </c>
      <c r="B133" s="1" t="s">
        <v>781</v>
      </c>
      <c r="C133" s="13" t="s">
        <v>35</v>
      </c>
      <c r="D133" s="14">
        <v>3.9</v>
      </c>
      <c r="E133" s="14">
        <v>0.0</v>
      </c>
      <c r="F133" s="13" t="s">
        <v>782</v>
      </c>
      <c r="G133" s="18">
        <v>3.9</v>
      </c>
      <c r="H133" s="19">
        <f t="shared" si="4"/>
        <v>0.0039</v>
      </c>
      <c r="I133" s="1" t="s">
        <v>783</v>
      </c>
      <c r="J133" s="1" t="s">
        <v>784</v>
      </c>
      <c r="K133" s="1" t="s">
        <v>785</v>
      </c>
      <c r="L133" s="11" t="s">
        <v>786</v>
      </c>
      <c r="M133" s="1" t="s">
        <v>459</v>
      </c>
      <c r="N133" s="1" t="s">
        <v>42</v>
      </c>
      <c r="O133" s="1">
        <v>3.9</v>
      </c>
      <c r="P133" s="1">
        <v>3.9</v>
      </c>
      <c r="Q133" s="1">
        <v>0.0</v>
      </c>
      <c r="R133" s="1" t="s">
        <v>215</v>
      </c>
      <c r="S133" s="1" t="s">
        <v>787</v>
      </c>
      <c r="T133" s="1" t="s">
        <v>783</v>
      </c>
      <c r="U133" s="1" t="s">
        <v>461</v>
      </c>
      <c r="V133" s="1" t="s">
        <v>46</v>
      </c>
      <c r="W133" s="1" t="s">
        <v>47</v>
      </c>
      <c r="X133" s="1" t="s">
        <v>48</v>
      </c>
      <c r="Y133" s="1" t="s">
        <v>49</v>
      </c>
      <c r="Z133" s="1" t="s">
        <v>50</v>
      </c>
      <c r="AA133" s="12">
        <v>3.9</v>
      </c>
      <c r="AB133" s="12">
        <f t="shared" si="2"/>
        <v>0.0039</v>
      </c>
      <c r="AC133" s="13" t="s">
        <v>51</v>
      </c>
      <c r="AD133" s="13" t="s">
        <v>782</v>
      </c>
      <c r="AE133" s="97" t="str">
        <v>EQ-0128</v>
      </c>
      <c r="AF133" s="98" t="str">
        <v>electronic weighing scale</v>
      </c>
      <c r="AG133" s="98" t="str">
        <v>CONDITIONAL_MATCH</v>
      </c>
      <c r="AH133" s="98" t="str">
        <v>Match model or supported analogue, operating state, room allocation and all conditions in F. Use D/E only.</v>
      </c>
    </row>
    <row r="134">
      <c r="A134" s="1" t="s">
        <v>212</v>
      </c>
      <c r="B134" s="1" t="s">
        <v>788</v>
      </c>
      <c r="C134" s="13" t="s">
        <v>35</v>
      </c>
      <c r="D134" s="14">
        <v>25.0</v>
      </c>
      <c r="E134" s="14">
        <v>0.0</v>
      </c>
      <c r="F134" s="13" t="s">
        <v>789</v>
      </c>
      <c r="G134" s="18">
        <v>25.0</v>
      </c>
      <c r="H134" s="19">
        <f t="shared" si="4"/>
        <v>0.025</v>
      </c>
      <c r="I134" s="1" t="s">
        <v>790</v>
      </c>
      <c r="J134" s="1" t="s">
        <v>791</v>
      </c>
      <c r="K134" s="1" t="s">
        <v>792</v>
      </c>
      <c r="L134" s="11" t="s">
        <v>793</v>
      </c>
      <c r="M134" s="1" t="s">
        <v>459</v>
      </c>
      <c r="N134" s="1" t="s">
        <v>42</v>
      </c>
      <c r="O134" s="1">
        <v>25.0</v>
      </c>
      <c r="P134" s="1">
        <v>25.0</v>
      </c>
      <c r="Q134" s="1">
        <v>0.0</v>
      </c>
      <c r="R134" s="1" t="s">
        <v>215</v>
      </c>
      <c r="S134" s="1" t="s">
        <v>794</v>
      </c>
      <c r="T134" s="1" t="s">
        <v>790</v>
      </c>
      <c r="U134" s="1" t="s">
        <v>461</v>
      </c>
      <c r="V134" s="1" t="s">
        <v>46</v>
      </c>
      <c r="W134" s="1" t="s">
        <v>47</v>
      </c>
      <c r="X134" s="1" t="s">
        <v>48</v>
      </c>
      <c r="Y134" s="1" t="s">
        <v>49</v>
      </c>
      <c r="Z134" s="1" t="s">
        <v>50</v>
      </c>
      <c r="AA134" s="12">
        <v>25.0</v>
      </c>
      <c r="AB134" s="12">
        <f t="shared" si="2"/>
        <v>0.025</v>
      </c>
      <c r="AC134" s="13" t="s">
        <v>51</v>
      </c>
      <c r="AD134" s="13" t="s">
        <v>789</v>
      </c>
      <c r="AE134" s="97" t="str">
        <v>EQ-0129</v>
      </c>
      <c r="AF134" s="98" t="str">
        <v>queue management display</v>
      </c>
      <c r="AG134" s="98" t="str">
        <v>CONDITIONAL_MATCH</v>
      </c>
      <c r="AH134" s="98" t="str">
        <v>Match model or supported analogue, operating state, room allocation and all conditions in F. Use D/E only.</v>
      </c>
    </row>
    <row r="135">
      <c r="A135" s="1" t="s">
        <v>212</v>
      </c>
      <c r="B135" s="1" t="s">
        <v>795</v>
      </c>
      <c r="C135" s="13" t="s">
        <v>129</v>
      </c>
      <c r="D135" s="14">
        <v>12.42</v>
      </c>
      <c r="E135" s="14">
        <v>0.0</v>
      </c>
      <c r="F135" s="13" t="s">
        <v>796</v>
      </c>
      <c r="G135" s="18">
        <v>12.42</v>
      </c>
      <c r="H135" s="19">
        <f t="shared" si="4"/>
        <v>0.01242</v>
      </c>
      <c r="I135" s="1" t="s">
        <v>797</v>
      </c>
      <c r="J135" s="1" t="s">
        <v>798</v>
      </c>
      <c r="K135" s="1" t="s">
        <v>799</v>
      </c>
      <c r="L135" s="11" t="s">
        <v>800</v>
      </c>
      <c r="M135" s="1" t="s">
        <v>459</v>
      </c>
      <c r="N135" s="1" t="s">
        <v>42</v>
      </c>
      <c r="O135" s="1">
        <v>12.42</v>
      </c>
      <c r="P135" s="1">
        <v>12.42</v>
      </c>
      <c r="Q135" s="1">
        <v>0.0</v>
      </c>
      <c r="R135" s="1" t="s">
        <v>215</v>
      </c>
      <c r="S135" s="1" t="s">
        <v>801</v>
      </c>
      <c r="T135" s="1" t="s">
        <v>797</v>
      </c>
      <c r="U135" s="1" t="s">
        <v>461</v>
      </c>
      <c r="V135" s="1" t="s">
        <v>46</v>
      </c>
      <c r="W135" s="1" t="s">
        <v>47</v>
      </c>
      <c r="X135" s="1" t="s">
        <v>48</v>
      </c>
      <c r="Y135" s="1" t="s">
        <v>49</v>
      </c>
      <c r="Z135" s="1" t="s">
        <v>50</v>
      </c>
      <c r="AA135" s="12">
        <v>12.42</v>
      </c>
      <c r="AB135" s="12">
        <f t="shared" si="2"/>
        <v>0.01242</v>
      </c>
      <c r="AC135" s="13" t="s">
        <v>51</v>
      </c>
      <c r="AD135" s="13" t="s">
        <v>796</v>
      </c>
      <c r="AE135" s="97" t="str">
        <v>EQ-0130</v>
      </c>
      <c r="AF135" s="98" t="str">
        <v>digital signage player</v>
      </c>
      <c r="AG135" s="98" t="str">
        <v>CONDITIONAL_MATCH</v>
      </c>
      <c r="AH135" s="98" t="str">
        <v>Match model or supported analogue, operating state, room allocation and all conditions in F. Use D/E only.</v>
      </c>
    </row>
    <row r="136">
      <c r="A136" s="1" t="s">
        <v>212</v>
      </c>
      <c r="B136" s="1" t="s">
        <v>802</v>
      </c>
      <c r="C136" s="13" t="s">
        <v>87</v>
      </c>
      <c r="D136" s="14">
        <v>100.0</v>
      </c>
      <c r="E136" s="14">
        <v>0.0</v>
      </c>
      <c r="F136" s="13" t="s">
        <v>803</v>
      </c>
      <c r="G136" s="18">
        <v>100.0</v>
      </c>
      <c r="H136" s="19">
        <f t="shared" si="4"/>
        <v>0.1</v>
      </c>
      <c r="I136" s="1" t="s">
        <v>804</v>
      </c>
      <c r="J136" s="1" t="s">
        <v>805</v>
      </c>
      <c r="K136" s="1" t="s">
        <v>806</v>
      </c>
      <c r="L136" s="11" t="s">
        <v>807</v>
      </c>
      <c r="M136" s="1" t="s">
        <v>459</v>
      </c>
      <c r="N136" s="1" t="s">
        <v>42</v>
      </c>
      <c r="O136" s="1">
        <v>100.0</v>
      </c>
      <c r="P136" s="1">
        <v>100.0</v>
      </c>
      <c r="Q136" s="1">
        <v>0.0</v>
      </c>
      <c r="R136" s="1" t="s">
        <v>215</v>
      </c>
      <c r="S136" s="1" t="s">
        <v>808</v>
      </c>
      <c r="T136" s="1" t="s">
        <v>804</v>
      </c>
      <c r="U136" s="1" t="s">
        <v>809</v>
      </c>
      <c r="V136" s="1" t="s">
        <v>46</v>
      </c>
      <c r="W136" s="1" t="s">
        <v>47</v>
      </c>
      <c r="X136" s="1" t="s">
        <v>48</v>
      </c>
      <c r="Y136" s="1" t="s">
        <v>49</v>
      </c>
      <c r="Z136" s="1" t="s">
        <v>50</v>
      </c>
      <c r="AA136" s="12">
        <v>100.0</v>
      </c>
      <c r="AB136" s="12">
        <f t="shared" si="2"/>
        <v>0.1</v>
      </c>
      <c r="AC136" s="13" t="s">
        <v>51</v>
      </c>
      <c r="AD136" s="13" t="s">
        <v>803</v>
      </c>
      <c r="AE136" s="97" t="str">
        <v>EQ-0131</v>
      </c>
      <c r="AF136" s="98" t="str">
        <v>ticket dispenser</v>
      </c>
      <c r="AG136" s="98" t="str">
        <v>CONDITIONAL_MATCH</v>
      </c>
      <c r="AH136" s="98" t="str">
        <v>Match model or supported analogue, operating state, room allocation and all conditions in F. Use D/E only.</v>
      </c>
    </row>
    <row r="137">
      <c r="A137" s="1" t="s">
        <v>100</v>
      </c>
      <c r="B137" s="1" t="s">
        <v>810</v>
      </c>
      <c r="C137" s="13" t="s">
        <v>87</v>
      </c>
      <c r="D137" s="14">
        <v>27.0</v>
      </c>
      <c r="E137" s="14">
        <v>0.0</v>
      </c>
      <c r="F137" s="13" t="s">
        <v>811</v>
      </c>
      <c r="G137" s="18">
        <v>27.0</v>
      </c>
      <c r="H137" s="19">
        <f t="shared" si="4"/>
        <v>0.027</v>
      </c>
      <c r="I137" s="1" t="s">
        <v>812</v>
      </c>
      <c r="J137" s="1" t="s">
        <v>813</v>
      </c>
      <c r="K137" s="1" t="s">
        <v>814</v>
      </c>
      <c r="L137" s="11" t="s">
        <v>815</v>
      </c>
      <c r="M137" s="1" t="s">
        <v>524</v>
      </c>
      <c r="N137" s="1" t="s">
        <v>42</v>
      </c>
      <c r="O137" s="1">
        <v>27.0</v>
      </c>
      <c r="P137" s="1">
        <v>27.0</v>
      </c>
      <c r="Q137" s="1">
        <v>0.0</v>
      </c>
      <c r="R137" s="1" t="s">
        <v>43</v>
      </c>
      <c r="S137" s="1" t="s">
        <v>816</v>
      </c>
      <c r="T137" s="1" t="s">
        <v>812</v>
      </c>
      <c r="U137" s="1" t="s">
        <v>559</v>
      </c>
      <c r="V137" s="1" t="s">
        <v>46</v>
      </c>
      <c r="W137" s="1" t="s">
        <v>47</v>
      </c>
      <c r="X137" s="1" t="s">
        <v>48</v>
      </c>
      <c r="Y137" s="1" t="s">
        <v>49</v>
      </c>
      <c r="Z137" s="1" t="s">
        <v>50</v>
      </c>
      <c r="AA137" s="12">
        <v>27.0</v>
      </c>
      <c r="AB137" s="12">
        <f t="shared" si="2"/>
        <v>0.027</v>
      </c>
      <c r="AC137" s="13" t="s">
        <v>51</v>
      </c>
      <c r="AD137" s="13" t="s">
        <v>811</v>
      </c>
      <c r="AE137" s="97" t="str">
        <v>EQ-0132</v>
      </c>
      <c r="AF137" s="98" t="str">
        <v>led panel - 600 × 600 mm</v>
      </c>
      <c r="AG137" s="98" t="str">
        <v>CONDITIONAL_MATCH</v>
      </c>
      <c r="AH137" s="98" t="str">
        <v>Match model or supported analogue, operating state, room allocation and all conditions in F. Use D/E only.</v>
      </c>
    </row>
    <row r="138">
      <c r="A138" s="1" t="s">
        <v>100</v>
      </c>
      <c r="B138" s="1" t="s">
        <v>817</v>
      </c>
      <c r="C138" s="13" t="s">
        <v>87</v>
      </c>
      <c r="D138" s="14">
        <v>32.0</v>
      </c>
      <c r="E138" s="14">
        <v>0.0</v>
      </c>
      <c r="F138" s="13" t="s">
        <v>818</v>
      </c>
      <c r="G138" s="18">
        <v>32.0</v>
      </c>
      <c r="H138" s="19">
        <f t="shared" si="4"/>
        <v>0.032</v>
      </c>
      <c r="I138" s="1" t="s">
        <v>819</v>
      </c>
      <c r="J138" s="1" t="s">
        <v>820</v>
      </c>
      <c r="K138" s="1" t="s">
        <v>821</v>
      </c>
      <c r="L138" s="11" t="s">
        <v>822</v>
      </c>
      <c r="M138" s="1" t="s">
        <v>524</v>
      </c>
      <c r="N138" s="1" t="s">
        <v>42</v>
      </c>
      <c r="O138" s="1">
        <v>32.0</v>
      </c>
      <c r="P138" s="1">
        <v>32.0</v>
      </c>
      <c r="Q138" s="1">
        <v>0.0</v>
      </c>
      <c r="R138" s="1" t="s">
        <v>43</v>
      </c>
      <c r="S138" s="1" t="s">
        <v>823</v>
      </c>
      <c r="T138" s="1" t="s">
        <v>819</v>
      </c>
      <c r="U138" s="1" t="s">
        <v>559</v>
      </c>
      <c r="V138" s="1" t="s">
        <v>46</v>
      </c>
      <c r="W138" s="1" t="s">
        <v>47</v>
      </c>
      <c r="X138" s="1" t="s">
        <v>48</v>
      </c>
      <c r="Y138" s="1" t="s">
        <v>49</v>
      </c>
      <c r="Z138" s="1" t="s">
        <v>50</v>
      </c>
      <c r="AA138" s="12">
        <v>32.0</v>
      </c>
      <c r="AB138" s="12">
        <f t="shared" si="2"/>
        <v>0.032</v>
      </c>
      <c r="AC138" s="13" t="s">
        <v>51</v>
      </c>
      <c r="AD138" s="13" t="s">
        <v>818</v>
      </c>
      <c r="AE138" s="97" t="str">
        <v>EQ-0133</v>
      </c>
      <c r="AF138" s="98" t="str">
        <v>led panel - 1200 × 300 mm</v>
      </c>
      <c r="AG138" s="98" t="str">
        <v>CONDITIONAL_MATCH</v>
      </c>
      <c r="AH138" s="98" t="str">
        <v>Match model or supported analogue, operating state, room allocation and all conditions in F. Use D/E only.</v>
      </c>
    </row>
    <row r="139">
      <c r="A139" s="1" t="s">
        <v>100</v>
      </c>
      <c r="B139" s="1" t="s">
        <v>824</v>
      </c>
      <c r="C139" s="13" t="s">
        <v>87</v>
      </c>
      <c r="D139" s="14">
        <v>100.0</v>
      </c>
      <c r="E139" s="14">
        <v>0.0</v>
      </c>
      <c r="F139" s="13" t="s">
        <v>825</v>
      </c>
      <c r="G139" s="18">
        <v>100.0</v>
      </c>
      <c r="H139" s="19">
        <f t="shared" si="4"/>
        <v>0.1</v>
      </c>
      <c r="I139" s="1" t="s">
        <v>819</v>
      </c>
      <c r="J139" s="1" t="s">
        <v>826</v>
      </c>
      <c r="K139" s="1" t="s">
        <v>827</v>
      </c>
      <c r="L139" s="11" t="s">
        <v>828</v>
      </c>
      <c r="M139" s="1" t="s">
        <v>524</v>
      </c>
      <c r="N139" s="1" t="s">
        <v>42</v>
      </c>
      <c r="O139" s="1">
        <v>100.0</v>
      </c>
      <c r="P139" s="1">
        <v>100.0</v>
      </c>
      <c r="Q139" s="1">
        <v>0.0</v>
      </c>
      <c r="R139" s="1" t="s">
        <v>43</v>
      </c>
      <c r="S139" s="1" t="s">
        <v>829</v>
      </c>
      <c r="T139" s="1" t="s">
        <v>819</v>
      </c>
      <c r="U139" s="1" t="s">
        <v>559</v>
      </c>
      <c r="V139" s="1" t="s">
        <v>46</v>
      </c>
      <c r="W139" s="1" t="s">
        <v>47</v>
      </c>
      <c r="X139" s="1" t="s">
        <v>100</v>
      </c>
      <c r="Y139" s="1" t="s">
        <v>122</v>
      </c>
      <c r="Z139" s="1" t="s">
        <v>50</v>
      </c>
      <c r="AA139" s="12">
        <v>100.0</v>
      </c>
      <c r="AB139" s="12">
        <f t="shared" si="2"/>
        <v>0.1</v>
      </c>
      <c r="AC139" s="13" t="s">
        <v>51</v>
      </c>
      <c r="AD139" s="13" t="s">
        <v>825</v>
      </c>
      <c r="AE139" s="97" t="str">
        <v>EQ-0134</v>
      </c>
      <c r="AF139" s="98" t="str">
        <v>led high-bay luminaire</v>
      </c>
      <c r="AG139" s="98" t="str">
        <v>CONDITIONAL_MATCH</v>
      </c>
      <c r="AH139" s="98" t="str">
        <v>Match model or supported analogue, operating state, room allocation and all conditions in F. Use D/E only.</v>
      </c>
    </row>
    <row r="140">
      <c r="A140" s="1" t="s">
        <v>100</v>
      </c>
      <c r="B140" s="1" t="s">
        <v>830</v>
      </c>
      <c r="C140" s="13" t="s">
        <v>87</v>
      </c>
      <c r="D140" s="14">
        <v>97.0</v>
      </c>
      <c r="E140" s="14">
        <v>0.0</v>
      </c>
      <c r="F140" s="13" t="s">
        <v>831</v>
      </c>
      <c r="G140" s="18">
        <v>97.0</v>
      </c>
      <c r="H140" s="19">
        <f t="shared" si="4"/>
        <v>0.097</v>
      </c>
      <c r="I140" s="1" t="s">
        <v>832</v>
      </c>
      <c r="J140" s="1" t="s">
        <v>833</v>
      </c>
      <c r="K140" s="1" t="s">
        <v>834</v>
      </c>
      <c r="L140" s="11" t="s">
        <v>835</v>
      </c>
      <c r="M140" s="1" t="s">
        <v>459</v>
      </c>
      <c r="N140" s="1" t="s">
        <v>42</v>
      </c>
      <c r="O140" s="1">
        <v>97.0</v>
      </c>
      <c r="P140" s="1">
        <v>97.0</v>
      </c>
      <c r="Q140" s="1">
        <v>0.0</v>
      </c>
      <c r="R140" s="1" t="s">
        <v>43</v>
      </c>
      <c r="S140" s="1" t="s">
        <v>836</v>
      </c>
      <c r="T140" s="1" t="s">
        <v>832</v>
      </c>
      <c r="U140" s="1" t="s">
        <v>461</v>
      </c>
      <c r="V140" s="1" t="s">
        <v>46</v>
      </c>
      <c r="W140" s="1" t="s">
        <v>47</v>
      </c>
      <c r="X140" s="1" t="s">
        <v>100</v>
      </c>
      <c r="Y140" s="1" t="s">
        <v>122</v>
      </c>
      <c r="Z140" s="1" t="s">
        <v>50</v>
      </c>
      <c r="AA140" s="12">
        <v>97.0</v>
      </c>
      <c r="AB140" s="12">
        <f t="shared" si="2"/>
        <v>0.097</v>
      </c>
      <c r="AC140" s="13" t="s">
        <v>51</v>
      </c>
      <c r="AD140" s="13" t="s">
        <v>831</v>
      </c>
      <c r="AE140" s="97" t="str">
        <v>EQ-0135</v>
      </c>
      <c r="AF140" s="98" t="str">
        <v>led low-bay luminaire</v>
      </c>
      <c r="AG140" s="98" t="str">
        <v>CONDITIONAL_MATCH</v>
      </c>
      <c r="AH140" s="98" t="str">
        <v>Match model or supported analogue, operating state, room allocation and all conditions in F. Use D/E only.</v>
      </c>
    </row>
    <row r="141">
      <c r="A141" s="1" t="s">
        <v>100</v>
      </c>
      <c r="B141" s="1" t="s">
        <v>837</v>
      </c>
      <c r="C141" s="13" t="s">
        <v>87</v>
      </c>
      <c r="D141" s="14">
        <v>16.8</v>
      </c>
      <c r="E141" s="14">
        <v>0.0</v>
      </c>
      <c r="F141" s="13" t="s">
        <v>838</v>
      </c>
      <c r="G141" s="18">
        <v>16.8</v>
      </c>
      <c r="H141" s="19">
        <f t="shared" si="4"/>
        <v>0.0168</v>
      </c>
      <c r="I141" s="1" t="s">
        <v>839</v>
      </c>
      <c r="J141" s="1" t="s">
        <v>840</v>
      </c>
      <c r="K141" s="1" t="s">
        <v>841</v>
      </c>
      <c r="L141" s="11" t="s">
        <v>842</v>
      </c>
      <c r="M141" s="1" t="s">
        <v>459</v>
      </c>
      <c r="N141" s="1" t="s">
        <v>42</v>
      </c>
      <c r="O141" s="1">
        <v>16.8</v>
      </c>
      <c r="P141" s="1">
        <v>16.8</v>
      </c>
      <c r="Q141" s="1">
        <v>0.0</v>
      </c>
      <c r="R141" s="1" t="s">
        <v>43</v>
      </c>
      <c r="S141" s="1" t="s">
        <v>843</v>
      </c>
      <c r="T141" s="1" t="s">
        <v>839</v>
      </c>
      <c r="U141" s="1" t="s">
        <v>676</v>
      </c>
      <c r="V141" s="1" t="s">
        <v>46</v>
      </c>
      <c r="W141" s="1" t="s">
        <v>47</v>
      </c>
      <c r="X141" s="1" t="s">
        <v>100</v>
      </c>
      <c r="Y141" s="1" t="s">
        <v>122</v>
      </c>
      <c r="Z141" s="1" t="s">
        <v>50</v>
      </c>
      <c r="AA141" s="12">
        <v>16.8</v>
      </c>
      <c r="AB141" s="12">
        <f t="shared" si="2"/>
        <v>0.0168</v>
      </c>
      <c r="AC141" s="13" t="s">
        <v>51</v>
      </c>
      <c r="AD141" s="13" t="s">
        <v>838</v>
      </c>
      <c r="AE141" s="97" t="str">
        <v>EQ-0136</v>
      </c>
      <c r="AF141" s="98" t="str">
        <v>led strip / cove lighting - per metre</v>
      </c>
      <c r="AG141" s="98" t="str">
        <v>CONDITIONAL_MATCH</v>
      </c>
      <c r="AH141" s="98" t="str">
        <v>Match model or supported analogue, operating state, room allocation and all conditions in F. Use D/E only.</v>
      </c>
    </row>
    <row r="142">
      <c r="A142" s="1" t="s">
        <v>100</v>
      </c>
      <c r="B142" s="1" t="s">
        <v>844</v>
      </c>
      <c r="C142" s="13" t="s">
        <v>87</v>
      </c>
      <c r="D142" s="14">
        <v>20.0</v>
      </c>
      <c r="E142" s="14">
        <v>0.0</v>
      </c>
      <c r="F142" s="13" t="s">
        <v>845</v>
      </c>
      <c r="G142" s="18">
        <v>20.0</v>
      </c>
      <c r="H142" s="19">
        <f t="shared" si="4"/>
        <v>0.02</v>
      </c>
      <c r="I142" s="1" t="s">
        <v>846</v>
      </c>
      <c r="J142" s="1" t="s">
        <v>847</v>
      </c>
      <c r="K142" s="1" t="s">
        <v>848</v>
      </c>
      <c r="L142" s="11" t="s">
        <v>849</v>
      </c>
      <c r="M142" s="1" t="s">
        <v>524</v>
      </c>
      <c r="N142" s="1" t="s">
        <v>42</v>
      </c>
      <c r="O142" s="1">
        <v>20.0</v>
      </c>
      <c r="P142" s="1">
        <v>20.0</v>
      </c>
      <c r="Q142" s="1">
        <v>0.0</v>
      </c>
      <c r="R142" s="1" t="s">
        <v>43</v>
      </c>
      <c r="S142" s="1" t="s">
        <v>850</v>
      </c>
      <c r="T142" s="1" t="s">
        <v>846</v>
      </c>
      <c r="U142" s="1" t="s">
        <v>526</v>
      </c>
      <c r="V142" s="1" t="s">
        <v>46</v>
      </c>
      <c r="W142" s="1" t="s">
        <v>47</v>
      </c>
      <c r="X142" s="1" t="s">
        <v>591</v>
      </c>
      <c r="Y142" s="1" t="s">
        <v>592</v>
      </c>
      <c r="Z142" s="1" t="s">
        <v>50</v>
      </c>
      <c r="AA142" s="12">
        <v>20.0</v>
      </c>
      <c r="AB142" s="12">
        <f t="shared" si="2"/>
        <v>0.02</v>
      </c>
      <c r="AC142" s="13" t="s">
        <v>51</v>
      </c>
      <c r="AD142" s="13" t="s">
        <v>845</v>
      </c>
      <c r="AE142" s="97" t="str">
        <v>EQ-0137</v>
      </c>
      <c r="AF142" s="98" t="str">
        <v>led track spotlight</v>
      </c>
      <c r="AG142" s="98" t="str">
        <v>CONDITIONAL_MATCH</v>
      </c>
      <c r="AH142" s="98" t="str">
        <v>Match model or supported analogue, operating state, room allocation and all conditions in F. Use D/E only.</v>
      </c>
    </row>
    <row r="143">
      <c r="A143" s="1" t="s">
        <v>100</v>
      </c>
      <c r="B143" s="1" t="s">
        <v>851</v>
      </c>
      <c r="C143" s="13" t="s">
        <v>35</v>
      </c>
      <c r="D143" s="14">
        <v>9.0</v>
      </c>
      <c r="E143" s="14">
        <v>0.0</v>
      </c>
      <c r="F143" s="13" t="s">
        <v>852</v>
      </c>
      <c r="G143" s="18">
        <v>9.0</v>
      </c>
      <c r="H143" s="19">
        <f t="shared" si="4"/>
        <v>0.009</v>
      </c>
      <c r="I143" s="1" t="s">
        <v>853</v>
      </c>
      <c r="J143" s="1" t="s">
        <v>854</v>
      </c>
      <c r="K143" s="1" t="s">
        <v>855</v>
      </c>
      <c r="L143" s="11" t="s">
        <v>856</v>
      </c>
      <c r="M143" s="1" t="s">
        <v>459</v>
      </c>
      <c r="N143" s="1" t="s">
        <v>42</v>
      </c>
      <c r="O143" s="1">
        <v>9.0</v>
      </c>
      <c r="P143" s="1">
        <v>9.0</v>
      </c>
      <c r="Q143" s="1">
        <v>0.0</v>
      </c>
      <c r="R143" s="1" t="s">
        <v>43</v>
      </c>
      <c r="S143" s="1" t="s">
        <v>857</v>
      </c>
      <c r="T143" s="1" t="s">
        <v>853</v>
      </c>
      <c r="U143" s="1" t="s">
        <v>461</v>
      </c>
      <c r="V143" s="1" t="s">
        <v>46</v>
      </c>
      <c r="W143" s="1" t="s">
        <v>47</v>
      </c>
      <c r="X143" s="1" t="s">
        <v>100</v>
      </c>
      <c r="Y143" s="1" t="s">
        <v>122</v>
      </c>
      <c r="Z143" s="1" t="s">
        <v>50</v>
      </c>
      <c r="AA143" s="12">
        <v>9.0</v>
      </c>
      <c r="AB143" s="12">
        <f t="shared" si="2"/>
        <v>0.009</v>
      </c>
      <c r="AC143" s="13" t="s">
        <v>51</v>
      </c>
      <c r="AD143" s="13" t="s">
        <v>852</v>
      </c>
      <c r="AE143" s="97" t="str">
        <v>EQ-0138</v>
      </c>
      <c r="AF143" s="98" t="str">
        <v>led downlight - dimmable</v>
      </c>
      <c r="AG143" s="98" t="str">
        <v>CONDITIONAL_MATCH</v>
      </c>
      <c r="AH143" s="98" t="str">
        <v>Match model or supported analogue, operating state, room allocation and all conditions in F. Use D/E only.</v>
      </c>
    </row>
    <row r="144">
      <c r="A144" s="1" t="s">
        <v>100</v>
      </c>
      <c r="B144" s="1" t="s">
        <v>858</v>
      </c>
      <c r="C144" s="7" t="s">
        <v>35</v>
      </c>
      <c r="D144" s="8">
        <v>3.0</v>
      </c>
      <c r="E144" s="8">
        <v>0.0</v>
      </c>
      <c r="F144" s="7" t="s">
        <v>859</v>
      </c>
      <c r="G144" s="18" t="s">
        <v>616</v>
      </c>
      <c r="H144" s="19" t="s">
        <v>616</v>
      </c>
      <c r="I144" s="1" t="s">
        <v>860</v>
      </c>
      <c r="J144" s="1" t="s">
        <v>861</v>
      </c>
      <c r="K144" s="1" t="s">
        <v>862</v>
      </c>
      <c r="L144" s="11" t="s">
        <v>863</v>
      </c>
      <c r="M144" s="1" t="s">
        <v>414</v>
      </c>
      <c r="N144" s="1" t="s">
        <v>42</v>
      </c>
      <c r="O144" s="1">
        <v>3.0</v>
      </c>
      <c r="P144" s="1">
        <v>3.0</v>
      </c>
      <c r="Q144" s="1">
        <v>0.0</v>
      </c>
      <c r="R144" s="1" t="s">
        <v>43</v>
      </c>
      <c r="S144" s="1" t="s">
        <v>864</v>
      </c>
      <c r="T144" s="1" t="s">
        <v>860</v>
      </c>
      <c r="U144" s="1" t="s">
        <v>416</v>
      </c>
      <c r="V144" s="1" t="s">
        <v>46</v>
      </c>
      <c r="W144" s="1" t="s">
        <v>47</v>
      </c>
      <c r="X144" s="1" t="s">
        <v>100</v>
      </c>
      <c r="Y144" s="1" t="s">
        <v>122</v>
      </c>
      <c r="Z144" s="1" t="s">
        <v>50</v>
      </c>
      <c r="AA144" s="12">
        <v>3.0</v>
      </c>
      <c r="AB144" s="12">
        <f t="shared" si="2"/>
        <v>0.003</v>
      </c>
      <c r="AC144" s="13" t="s">
        <v>51</v>
      </c>
      <c r="AD144" s="13" t="s">
        <v>859</v>
      </c>
      <c r="AE144" s="97" t="str">
        <v>EQ-0139</v>
      </c>
      <c r="AF144" s="98" t="str">
        <v>emergency lighting fitting</v>
      </c>
      <c r="AG144" s="98" t="str">
        <v>CONDITIONAL_MATCH</v>
      </c>
      <c r="AH144" s="98" t="str">
        <v>Match model or supported analogue, operating state, room allocation and all conditions in F. Use D/E only.</v>
      </c>
    </row>
    <row r="145">
      <c r="A145" s="1" t="s">
        <v>100</v>
      </c>
      <c r="B145" s="1" t="s">
        <v>865</v>
      </c>
      <c r="C145" s="7" t="s">
        <v>35</v>
      </c>
      <c r="D145" s="8">
        <v>4.0</v>
      </c>
      <c r="E145" s="8">
        <v>0.0</v>
      </c>
      <c r="F145" s="7" t="s">
        <v>866</v>
      </c>
      <c r="G145" s="18">
        <v>3.0</v>
      </c>
      <c r="H145" s="19">
        <f>G145/1000</f>
        <v>0.003</v>
      </c>
      <c r="I145" s="1" t="s">
        <v>860</v>
      </c>
      <c r="J145" s="1" t="s">
        <v>867</v>
      </c>
      <c r="K145" s="1" t="s">
        <v>868</v>
      </c>
      <c r="L145" s="11" t="s">
        <v>869</v>
      </c>
      <c r="M145" s="1" t="s">
        <v>414</v>
      </c>
      <c r="N145" s="1" t="s">
        <v>42</v>
      </c>
      <c r="O145" s="1">
        <v>4.0</v>
      </c>
      <c r="P145" s="1">
        <v>4.0</v>
      </c>
      <c r="Q145" s="1">
        <v>0.0</v>
      </c>
      <c r="R145" s="1" t="s">
        <v>43</v>
      </c>
      <c r="S145" s="1" t="s">
        <v>870</v>
      </c>
      <c r="T145" s="1" t="s">
        <v>860</v>
      </c>
      <c r="U145" s="1" t="s">
        <v>416</v>
      </c>
      <c r="V145" s="1" t="s">
        <v>46</v>
      </c>
      <c r="W145" s="1" t="s">
        <v>47</v>
      </c>
      <c r="X145" s="1" t="s">
        <v>100</v>
      </c>
      <c r="Y145" s="1" t="s">
        <v>122</v>
      </c>
      <c r="Z145" s="1" t="s">
        <v>50</v>
      </c>
      <c r="AA145" s="12">
        <v>4.0</v>
      </c>
      <c r="AB145" s="12">
        <f t="shared" si="2"/>
        <v>0.004</v>
      </c>
      <c r="AC145" s="13" t="s">
        <v>51</v>
      </c>
      <c r="AD145" s="13" t="s">
        <v>866</v>
      </c>
      <c r="AE145" s="97" t="str">
        <v>EQ-0140</v>
      </c>
      <c r="AF145" s="98" t="str">
        <v>exit sign</v>
      </c>
      <c r="AG145" s="98" t="str">
        <v>CONDITIONAL_MATCH</v>
      </c>
      <c r="AH145" s="98" t="str">
        <v>Match model or supported analogue, operating state, room allocation and all conditions in F. Use D/E only.</v>
      </c>
    </row>
    <row r="146">
      <c r="A146" s="1" t="s">
        <v>100</v>
      </c>
      <c r="B146" s="1" t="s">
        <v>871</v>
      </c>
      <c r="C146" s="13" t="s">
        <v>479</v>
      </c>
      <c r="D146" s="14" t="s">
        <v>67</v>
      </c>
      <c r="E146" s="14" t="s">
        <v>67</v>
      </c>
      <c r="F146" s="7" t="inlineStr">
        <is>
          <t>Further research required if this item is used in the project. NUMERIC EXAMPLE: 50 W (0.05 kW); ELECTRICAL INPUT — not established room heat.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t>
        </is>
      </c>
      <c r="G146" s="18" t="s">
        <v>616</v>
      </c>
      <c r="H146" s="19" t="s">
        <v>616</v>
      </c>
      <c r="I146" s="1" t="s">
        <v>873</v>
      </c>
      <c r="J146" s="1" t="s">
        <v>874</v>
      </c>
      <c r="K146" s="1" t="s">
        <v>875</v>
      </c>
      <c r="L146" s="11" t="s">
        <v>876</v>
      </c>
      <c r="M146" s="1" t="s">
        <v>485</v>
      </c>
      <c r="N146" s="1" t="s">
        <v>42</v>
      </c>
      <c r="O146" s="1">
        <v>50.0</v>
      </c>
      <c r="P146" s="1" t="s">
        <v>486</v>
      </c>
      <c r="Q146" s="1" t="s">
        <v>486</v>
      </c>
      <c r="R146" s="1" t="s">
        <v>43</v>
      </c>
      <c r="S146" s="1" t="s">
        <v>877</v>
      </c>
      <c r="T146" s="1" t="s">
        <v>873</v>
      </c>
      <c r="U146" s="1" t="s">
        <v>504</v>
      </c>
      <c r="V146" s="1" t="s">
        <v>200</v>
      </c>
      <c r="W146" s="1" t="s">
        <v>874</v>
      </c>
      <c r="X146" s="1" t="s">
        <v>100</v>
      </c>
      <c r="Y146" s="1" t="s">
        <v>122</v>
      </c>
      <c r="Z146" s="1" t="s">
        <v>50</v>
      </c>
      <c r="AA146" s="16">
        <v>50.0</v>
      </c>
      <c r="AB146" s="16">
        <f t="shared" si="2"/>
        <v>0.05</v>
      </c>
      <c r="AC146" s="17" t="s">
        <v>878</v>
      </c>
      <c r="AD146" s="17" t="inlineStr">
        <is>
          <t>Further research required if this item is used in the project. Existing electrical reference for Exterior floodlight: 50 W.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 This is not a measured sensible/latent room load. Only a closed energy balance can justify equating it to eventual total heat; external steam, refrigerant, fluid, work, storage and exhaust can change that result. REQUIRED: Outdoor fixture electrical input is not indoor heat gain. If fixture AND driver are outside, no light enters the room and no relevant heat path crosses the envelope, direct internal equipment gain may be taken as 0 W after confirming that boundary. Otherwise quantify indoor driver losses, incoming light and heat transfer separately. Existing 50 W is electrical reference only; D/E remain blank because project location/paths are unknown.</t>
        </is>
      </c>
      <c r="AE146" s="97" t="str">
        <v>EQ-0141</v>
      </c>
      <c r="AF146" s="98" t="str">
        <v>exterior floodlight</v>
      </c>
      <c r="AG146" s="98" t="str">
        <v>REFERENCE_ONLY</v>
      </c>
      <c r="AH146" s="98" t="str">
        <v>Do not auto-use reference wattage. Resolve the missing heat data or document a project estimate.</v>
      </c>
    </row>
    <row r="147">
      <c r="A147" s="1" t="s">
        <v>100</v>
      </c>
      <c r="B147" s="1" t="s">
        <v>880</v>
      </c>
      <c r="C147" s="13" t="s">
        <v>87</v>
      </c>
      <c r="D147" s="14">
        <v>10.0</v>
      </c>
      <c r="E147" s="14">
        <v>0.0</v>
      </c>
      <c r="F147" s="13" t="s">
        <v>881</v>
      </c>
      <c r="G147" s="18">
        <v>10.0</v>
      </c>
      <c r="H147" s="19">
        <f t="shared" ref="H147:H156" si="5">G147/1000</f>
        <v>0.01</v>
      </c>
      <c r="I147" s="1" t="s">
        <v>882</v>
      </c>
      <c r="J147" s="1" t="s">
        <v>883</v>
      </c>
      <c r="K147" s="1" t="s">
        <v>884</v>
      </c>
      <c r="L147" s="11" t="s">
        <v>885</v>
      </c>
      <c r="M147" s="1" t="s">
        <v>524</v>
      </c>
      <c r="N147" s="1" t="s">
        <v>42</v>
      </c>
      <c r="O147" s="1">
        <v>10.0</v>
      </c>
      <c r="P147" s="1">
        <v>10.0</v>
      </c>
      <c r="Q147" s="1">
        <v>0.0</v>
      </c>
      <c r="R147" s="1" t="s">
        <v>43</v>
      </c>
      <c r="S147" s="1" t="s">
        <v>886</v>
      </c>
      <c r="T147" s="1" t="s">
        <v>882</v>
      </c>
      <c r="U147" s="1" t="s">
        <v>526</v>
      </c>
      <c r="V147" s="1" t="s">
        <v>46</v>
      </c>
      <c r="W147" s="1" t="s">
        <v>47</v>
      </c>
      <c r="X147" s="1" t="s">
        <v>100</v>
      </c>
      <c r="Y147" s="1" t="s">
        <v>122</v>
      </c>
      <c r="Z147" s="1" t="s">
        <v>50</v>
      </c>
      <c r="AA147" s="12">
        <v>10.0</v>
      </c>
      <c r="AB147" s="12">
        <f t="shared" si="2"/>
        <v>0.01</v>
      </c>
      <c r="AC147" s="13" t="s">
        <v>51</v>
      </c>
      <c r="AD147" s="13" t="s">
        <v>881</v>
      </c>
      <c r="AE147" s="97" t="str">
        <v>EQ-0142</v>
      </c>
      <c r="AF147" s="98" t="str">
        <v>desk lamp</v>
      </c>
      <c r="AG147" s="98" t="str">
        <v>CONDITIONAL_MATCH</v>
      </c>
      <c r="AH147" s="98" t="str">
        <v>Match model or supported analogue, operating state, room allocation and all conditions in F. Use D/E only.</v>
      </c>
    </row>
    <row r="148">
      <c r="A148" s="1" t="s">
        <v>100</v>
      </c>
      <c r="B148" s="1" t="s">
        <v>887</v>
      </c>
      <c r="C148" s="13" t="s">
        <v>87</v>
      </c>
      <c r="D148" s="14">
        <v>135.36</v>
      </c>
      <c r="E148" s="14">
        <v>0.0</v>
      </c>
      <c r="F148" s="13" t="s">
        <v>888</v>
      </c>
      <c r="G148" s="18">
        <v>135.36</v>
      </c>
      <c r="H148" s="19">
        <f t="shared" si="5"/>
        <v>0.13536</v>
      </c>
      <c r="I148" s="1" t="s">
        <v>889</v>
      </c>
      <c r="J148" s="1" t="s">
        <v>890</v>
      </c>
      <c r="K148" s="1" t="s">
        <v>891</v>
      </c>
      <c r="L148" s="11" t="s">
        <v>892</v>
      </c>
      <c r="M148" s="1" t="s">
        <v>459</v>
      </c>
      <c r="N148" s="1" t="s">
        <v>42</v>
      </c>
      <c r="O148" s="1">
        <v>135.36</v>
      </c>
      <c r="P148" s="1">
        <v>135.36</v>
      </c>
      <c r="Q148" s="1">
        <v>0.0</v>
      </c>
      <c r="R148" s="1" t="s">
        <v>43</v>
      </c>
      <c r="S148" s="1" t="s">
        <v>893</v>
      </c>
      <c r="T148" s="1" t="s">
        <v>889</v>
      </c>
      <c r="U148" s="1" t="s">
        <v>461</v>
      </c>
      <c r="V148" s="1" t="s">
        <v>46</v>
      </c>
      <c r="W148" s="1" t="s">
        <v>47</v>
      </c>
      <c r="X148" s="1" t="s">
        <v>100</v>
      </c>
      <c r="Y148" s="1" t="s">
        <v>122</v>
      </c>
      <c r="Z148" s="1" t="s">
        <v>50</v>
      </c>
      <c r="AA148" s="12">
        <v>135.36</v>
      </c>
      <c r="AB148" s="12">
        <f t="shared" si="2"/>
        <v>0.13536</v>
      </c>
      <c r="AC148" s="13" t="s">
        <v>51</v>
      </c>
      <c r="AD148" s="13" t="s">
        <v>888</v>
      </c>
      <c r="AE148" s="97" t="str">
        <v>EQ-0143</v>
      </c>
      <c r="AF148" s="98" t="str">
        <v>stage / studio lighting fixture</v>
      </c>
      <c r="AG148" s="98" t="str">
        <v>CONDITIONAL_MATCH</v>
      </c>
      <c r="AH148" s="98" t="str">
        <v>Match model or supported analogue, operating state, room allocation and all conditions in F. Use D/E only.</v>
      </c>
    </row>
    <row r="149">
      <c r="A149" s="1" t="s">
        <v>894</v>
      </c>
      <c r="B149" s="1" t="s">
        <v>895</v>
      </c>
      <c r="C149" s="13" t="s">
        <v>896</v>
      </c>
      <c r="D149" s="14" t="s">
        <v>67</v>
      </c>
      <c r="E149" s="14" t="s">
        <v>67</v>
      </c>
      <c r="F149" s="7" t="inlineStr">
        <is>
          <t>Further research required if this item is used in the project. NUMERIC EXAMPLE: 822 W (0.822 kW); EXISTING REFERENCE — scope/state limits apply.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t>
        </is>
      </c>
      <c r="G149" s="18">
        <v>822.0</v>
      </c>
      <c r="H149" s="19">
        <f t="shared" si="5"/>
        <v>0.822</v>
      </c>
      <c r="I149" s="1" t="s">
        <v>898</v>
      </c>
      <c r="J149" s="1" t="s">
        <v>899</v>
      </c>
      <c r="K149" s="1" t="s">
        <v>900</v>
      </c>
      <c r="L149" s="11" t="s">
        <v>58</v>
      </c>
      <c r="M149" s="1" t="s">
        <v>459</v>
      </c>
      <c r="N149" s="1" t="s">
        <v>42</v>
      </c>
      <c r="O149" s="1" t="s">
        <v>606</v>
      </c>
      <c r="P149" s="1" t="s">
        <v>486</v>
      </c>
      <c r="Q149" s="1" t="s">
        <v>486</v>
      </c>
      <c r="R149" s="1" t="s">
        <v>901</v>
      </c>
      <c r="S149" s="1" t="s">
        <v>902</v>
      </c>
      <c r="T149" s="1" t="s">
        <v>898</v>
      </c>
      <c r="U149" s="1" t="s">
        <v>504</v>
      </c>
      <c r="V149" s="1" t="s">
        <v>200</v>
      </c>
      <c r="W149" s="1" t="s">
        <v>899</v>
      </c>
      <c r="X149" s="1" t="s">
        <v>903</v>
      </c>
      <c r="Y149" s="1" t="s">
        <v>904</v>
      </c>
      <c r="Z149" s="1" t="s">
        <v>50</v>
      </c>
      <c r="AA149" s="16">
        <v>822.0</v>
      </c>
      <c r="AB149" s="16">
        <f t="shared" si="2"/>
        <v>0.822</v>
      </c>
      <c r="AC149" s="17" t="s">
        <v>201</v>
      </c>
      <c r="AD149" s="17" t="inlineStr">
        <is>
          <t>Further research required if this item is used in the project. Table 10; upper end of measured peak range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 This retains the original reference, including any unresolved source limitations; it is not newly validated net room heat. REQUIRED: 822 W is an older 15-minute peak reference for a 25–34 L microwave, NOT a verified sensible/latent split. Obtain model, cycle duration, food/water load, vapour release, hood capture and location where hot food cools. Manufacturer cooking output is not wall input or room heat. Use measured/published room emissions for the actual process; calculate exhaust makeup air separately. D/E remain blank.</t>
        </is>
      </c>
      <c r="AE149" s="97" t="str">
        <v>EQ-0144</v>
      </c>
      <c r="AF149" s="98" t="str">
        <v>microwave oven</v>
      </c>
      <c r="AG149" s="98" t="str">
        <v>REFERENCE_ONLY</v>
      </c>
      <c r="AH149" s="98" t="str">
        <v>Do not auto-use reference wattage. Resolve the missing heat data or document a project estimate.</v>
      </c>
    </row>
    <row r="150">
      <c r="A150" s="1" t="s">
        <v>894</v>
      </c>
      <c r="B150" s="1" t="s">
        <v>906</v>
      </c>
      <c r="C150" s="13" t="s">
        <v>896</v>
      </c>
      <c r="D150" s="14" t="s">
        <v>67</v>
      </c>
      <c r="E150" s="14" t="s">
        <v>67</v>
      </c>
      <c r="F150" s="7" t="inlineStr">
        <is>
          <t>Further research required if this item is used in the project. NUMERIC EXAMPLE: 1200 W (1.2 kW); EXISTING REFERENCE — scope/state limits apply.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t>
        </is>
      </c>
      <c r="G150" s="18">
        <v>1200.0</v>
      </c>
      <c r="H150" s="19">
        <f t="shared" si="5"/>
        <v>1.2</v>
      </c>
      <c r="I150" s="1" t="s">
        <v>908</v>
      </c>
      <c r="J150" s="1" t="s">
        <v>909</v>
      </c>
      <c r="K150" s="1" t="s">
        <v>910</v>
      </c>
      <c r="L150" s="11" t="s">
        <v>58</v>
      </c>
      <c r="M150" s="1" t="s">
        <v>459</v>
      </c>
      <c r="N150" s="1" t="s">
        <v>42</v>
      </c>
      <c r="O150" s="1" t="s">
        <v>606</v>
      </c>
      <c r="P150" s="1" t="s">
        <v>486</v>
      </c>
      <c r="Q150" s="1" t="s">
        <v>486</v>
      </c>
      <c r="R150" s="1" t="s">
        <v>901</v>
      </c>
      <c r="S150" s="1" t="s">
        <v>911</v>
      </c>
      <c r="T150" s="1" t="s">
        <v>908</v>
      </c>
      <c r="U150" s="1" t="s">
        <v>504</v>
      </c>
      <c r="V150" s="1" t="s">
        <v>200</v>
      </c>
      <c r="W150" s="1" t="s">
        <v>909</v>
      </c>
      <c r="X150" s="1" t="s">
        <v>48</v>
      </c>
      <c r="Y150" s="1" t="s">
        <v>49</v>
      </c>
      <c r="Z150" s="1" t="s">
        <v>50</v>
      </c>
      <c r="AA150" s="16">
        <v>1200.0</v>
      </c>
      <c r="AB150" s="16">
        <f t="shared" si="2"/>
        <v>1.2</v>
      </c>
      <c r="AC150" s="17" t="s">
        <v>201</v>
      </c>
      <c r="AD150" s="17" t="inlineStr">
        <is>
          <t>Further research required if this item is used in the project. Table 10; measured peak; replaces unmatched 2400 W input example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 This retains the original reference, including any unresolved source limitations; it is not newly validated net room heat. REQUIRED: 1200 W is the published six-cup kettle peak reference, not continuous room sensible gain. Record boil events/hour, fill volume and temperature, steam loss and where hot water is consumed. Do not assign all input to room heat if hot water leaves the zone. Resolve moisture separately; do not add steam latent heat on top of full electrical power. Use the actual kettle and schedule; D/E remain blank.</t>
        </is>
      </c>
      <c r="AE150" s="97" t="str">
        <v>EQ-0145</v>
      </c>
      <c r="AF150" s="98" t="str">
        <v>electric kettle</v>
      </c>
      <c r="AG150" s="98" t="str">
        <v>REFERENCE_ONLY</v>
      </c>
      <c r="AH150" s="98" t="str">
        <v>Do not auto-use reference wattage. Resolve the missing heat data or document a project estimate.</v>
      </c>
    </row>
    <row r="151">
      <c r="A151" s="1" t="s">
        <v>894</v>
      </c>
      <c r="B151" s="1" t="s">
        <v>913</v>
      </c>
      <c r="C151" s="13" t="s">
        <v>896</v>
      </c>
      <c r="D151" s="14" t="s">
        <v>67</v>
      </c>
      <c r="E151" s="14" t="s">
        <v>67</v>
      </c>
      <c r="F151" s="7" t="inlineStr">
        <is>
          <t>Further research required if this item is used in the project. NUMERIC EXAMPLE: 780 W (0.78 kW); EXISTING REFERENCE — scope/state limits apply.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t>
        </is>
      </c>
      <c r="G151" s="18">
        <v>780.0</v>
      </c>
      <c r="H151" s="19">
        <f t="shared" si="5"/>
        <v>0.78</v>
      </c>
      <c r="I151" s="1" t="s">
        <v>915</v>
      </c>
      <c r="J151" s="1" t="s">
        <v>916</v>
      </c>
      <c r="K151" s="1" t="s">
        <v>917</v>
      </c>
      <c r="L151" s="11" t="s">
        <v>58</v>
      </c>
      <c r="M151" s="1" t="s">
        <v>459</v>
      </c>
      <c r="N151" s="1" t="s">
        <v>42</v>
      </c>
      <c r="O151" s="1" t="s">
        <v>606</v>
      </c>
      <c r="P151" s="1" t="s">
        <v>486</v>
      </c>
      <c r="Q151" s="1" t="s">
        <v>486</v>
      </c>
      <c r="R151" s="1" t="s">
        <v>901</v>
      </c>
      <c r="S151" s="1" t="s">
        <v>918</v>
      </c>
      <c r="T151" s="1" t="s">
        <v>915</v>
      </c>
      <c r="U151" s="1" t="s">
        <v>504</v>
      </c>
      <c r="V151" s="1" t="s">
        <v>200</v>
      </c>
      <c r="W151" s="1" t="s">
        <v>916</v>
      </c>
      <c r="X151" s="1" t="s">
        <v>48</v>
      </c>
      <c r="Y151" s="1" t="s">
        <v>49</v>
      </c>
      <c r="Z151" s="1" t="s">
        <v>50</v>
      </c>
      <c r="AA151" s="16">
        <v>780.0</v>
      </c>
      <c r="AB151" s="16">
        <f t="shared" si="2"/>
        <v>0.78</v>
      </c>
      <c r="AC151" s="17" t="s">
        <v>201</v>
      </c>
      <c r="AD151" s="17" t="inlineStr">
        <is>
          <t>Further research required if this item is used in the project. Table 10; measured peak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 This retains the original reference, including any unresolved source limitations; it is not newly validated net room heat. REQUIRED: 780 W is a historical up-to-12-cup coffee-maker peak reference, not a measured room sensible/latent split. Record brewing versus warming hours, batches, water temperature, vapour release and drink destination. Hot drinks carried elsewhere export energy. Avoid counting brewed-drink heat both at the machine and at consumption. Obtain process-specific emissions; D/E remain blank.</t>
        </is>
      </c>
      <c r="AE151" s="97" t="str">
        <v>EQ-0146</v>
      </c>
      <c r="AF151" s="98" t="str">
        <v>drip coffee machine</v>
      </c>
      <c r="AG151" s="98" t="str">
        <v>REFERENCE_ONLY</v>
      </c>
      <c r="AH151" s="98" t="str">
        <v>Do not auto-use reference wattage. Resolve the missing heat data or document a project estimate.</v>
      </c>
    </row>
    <row r="152">
      <c r="A152" s="1" t="s">
        <v>894</v>
      </c>
      <c r="B152" s="1" t="s">
        <v>920</v>
      </c>
      <c r="C152" s="13" t="s">
        <v>921</v>
      </c>
      <c r="D152" s="14">
        <v>352.0</v>
      </c>
      <c r="E152" s="14">
        <v>0.0</v>
      </c>
      <c r="F152" s="13" t="s">
        <v>922</v>
      </c>
      <c r="G152" s="18">
        <v>352.0</v>
      </c>
      <c r="H152" s="19">
        <f t="shared" si="5"/>
        <v>0.352</v>
      </c>
      <c r="I152" s="1" t="s">
        <v>923</v>
      </c>
      <c r="J152" s="1" t="s">
        <v>705</v>
      </c>
      <c r="K152" s="1" t="s">
        <v>924</v>
      </c>
      <c r="L152" s="11" t="s">
        <v>58</v>
      </c>
      <c r="M152" s="1" t="s">
        <v>459</v>
      </c>
      <c r="N152" s="1" t="s">
        <v>42</v>
      </c>
      <c r="O152" s="1" t="s">
        <v>606</v>
      </c>
      <c r="P152" s="1">
        <v>352.0</v>
      </c>
      <c r="Q152" s="1">
        <v>0.0</v>
      </c>
      <c r="R152" s="1" t="s">
        <v>901</v>
      </c>
      <c r="S152" s="1" t="s">
        <v>925</v>
      </c>
      <c r="T152" s="1" t="s">
        <v>923</v>
      </c>
      <c r="U152" s="1" t="s">
        <v>608</v>
      </c>
      <c r="V152" s="1" t="s">
        <v>46</v>
      </c>
      <c r="W152" s="1" t="s">
        <v>47</v>
      </c>
      <c r="X152" s="1" t="s">
        <v>48</v>
      </c>
      <c r="Y152" s="1" t="s">
        <v>49</v>
      </c>
      <c r="Z152" s="1" t="s">
        <v>50</v>
      </c>
      <c r="AA152" s="12">
        <v>352.0</v>
      </c>
      <c r="AB152" s="12">
        <f t="shared" si="2"/>
        <v>0.352</v>
      </c>
      <c r="AC152" s="13" t="s">
        <v>51</v>
      </c>
      <c r="AD152" s="13" t="s">
        <v>922</v>
      </c>
      <c r="AE152" s="97" t="str">
        <v>EQ-0147</v>
      </c>
      <c r="AF152" s="98" t="str">
        <v>commercial espresso machine</v>
      </c>
      <c r="AG152" s="98" t="str">
        <v>CONDITIONAL_MATCH</v>
      </c>
      <c r="AH152" s="98" t="str">
        <v>Match model or supported analogue, operating state, room allocation and all conditions in F. Use D/E only.</v>
      </c>
    </row>
    <row r="153">
      <c r="A153" s="1" t="s">
        <v>894</v>
      </c>
      <c r="B153" s="1" t="s">
        <v>926</v>
      </c>
      <c r="C153" s="13" t="s">
        <v>896</v>
      </c>
      <c r="D153" s="14" t="s">
        <v>67</v>
      </c>
      <c r="E153" s="14" t="s">
        <v>67</v>
      </c>
      <c r="F153" s="7" t="inlineStr">
        <is>
          <t>Further research required if this item is used in the project. NUMERIC EXAMPLE: 376 W (0.376 kW); EXISTING REFERENCE — scope/state limits apply.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t>
        </is>
      </c>
      <c r="G153" s="18">
        <v>376.0</v>
      </c>
      <c r="H153" s="19">
        <f t="shared" si="5"/>
        <v>0.376</v>
      </c>
      <c r="I153" s="1" t="s">
        <v>928</v>
      </c>
      <c r="J153" s="1" t="s">
        <v>929</v>
      </c>
      <c r="K153" s="1" t="s">
        <v>930</v>
      </c>
      <c r="L153" s="11" t="s">
        <v>58</v>
      </c>
      <c r="M153" s="1" t="s">
        <v>459</v>
      </c>
      <c r="N153" s="1" t="s">
        <v>42</v>
      </c>
      <c r="O153" s="1" t="s">
        <v>606</v>
      </c>
      <c r="P153" s="1" t="s">
        <v>486</v>
      </c>
      <c r="Q153" s="1" t="s">
        <v>486</v>
      </c>
      <c r="R153" s="1" t="s">
        <v>901</v>
      </c>
      <c r="S153" s="1" t="s">
        <v>931</v>
      </c>
      <c r="T153" s="1" t="s">
        <v>928</v>
      </c>
      <c r="U153" s="1" t="s">
        <v>504</v>
      </c>
      <c r="V153" s="1" t="s">
        <v>200</v>
      </c>
      <c r="W153" s="1" t="s">
        <v>929</v>
      </c>
      <c r="X153" s="1" t="s">
        <v>48</v>
      </c>
      <c r="Y153" s="1" t="s">
        <v>49</v>
      </c>
      <c r="Z153" s="1" t="s">
        <v>50</v>
      </c>
      <c r="AA153" s="16">
        <v>376.0</v>
      </c>
      <c r="AB153" s="16">
        <f t="shared" si="2"/>
        <v>0.376</v>
      </c>
      <c r="AC153" s="17" t="s">
        <v>201</v>
      </c>
      <c r="AD153" s="17" t="inlineStr">
        <is>
          <t>Further research required if this item is used in the project. Table 10; measured peak, small unit example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 This retains the original reference, including any unresolved source limitations; it is not newly validated net room heat. REQUIRED: 376 W is a historical coffee-maker-with-grinder peak reference, not a universal bean-to-cup load. Record actual model, drinks/hour, standby, steam wand/milk heating, cleaning cycles and ventilation. Resolve hot-water/milk export and room vapour release; do not infer zero latent. Count external fridge separately and avoid duplicating grinder heat already within the machine. D/E remain blank.</t>
        </is>
      </c>
      <c r="AE153" s="97" t="str">
        <v>EQ-0148</v>
      </c>
      <c r="AF153" s="98" t="str">
        <v>bean-to-cup coffee machine</v>
      </c>
      <c r="AG153" s="98" t="str">
        <v>REFERENCE_ONLY</v>
      </c>
      <c r="AH153" s="98" t="str">
        <v>Do not auto-use reference wattage. Resolve the missing heat data or document a project estimate.</v>
      </c>
    </row>
    <row r="154">
      <c r="A154" s="1" t="s">
        <v>894</v>
      </c>
      <c r="B154" s="1" t="s">
        <v>933</v>
      </c>
      <c r="C154" s="13" t="s">
        <v>921</v>
      </c>
      <c r="D154" s="14">
        <v>147.0</v>
      </c>
      <c r="E154" s="14">
        <v>205.0</v>
      </c>
      <c r="F154" s="13" t="s">
        <v>934</v>
      </c>
      <c r="G154" s="18">
        <v>352.0</v>
      </c>
      <c r="H154" s="19">
        <f t="shared" si="5"/>
        <v>0.352</v>
      </c>
      <c r="I154" s="1" t="s">
        <v>935</v>
      </c>
      <c r="J154" s="1" t="s">
        <v>705</v>
      </c>
      <c r="K154" s="1" t="s">
        <v>936</v>
      </c>
      <c r="L154" s="11" t="s">
        <v>58</v>
      </c>
      <c r="M154" s="1" t="s">
        <v>459</v>
      </c>
      <c r="N154" s="1" t="s">
        <v>42</v>
      </c>
      <c r="O154" s="1" t="s">
        <v>606</v>
      </c>
      <c r="P154" s="1">
        <v>147.0</v>
      </c>
      <c r="Q154" s="1">
        <v>205.0</v>
      </c>
      <c r="R154" s="1" t="s">
        <v>901</v>
      </c>
      <c r="S154" s="1" t="s">
        <v>937</v>
      </c>
      <c r="T154" s="1" t="s">
        <v>935</v>
      </c>
      <c r="U154" s="1" t="s">
        <v>608</v>
      </c>
      <c r="V154" s="1" t="s">
        <v>46</v>
      </c>
      <c r="W154" s="1" t="s">
        <v>47</v>
      </c>
      <c r="X154" s="1" t="s">
        <v>48</v>
      </c>
      <c r="Y154" s="1" t="s">
        <v>49</v>
      </c>
      <c r="Z154" s="1" t="s">
        <v>50</v>
      </c>
      <c r="AA154" s="12">
        <v>352.0</v>
      </c>
      <c r="AB154" s="12">
        <f t="shared" si="2"/>
        <v>0.352</v>
      </c>
      <c r="AC154" s="13" t="s">
        <v>51</v>
      </c>
      <c r="AD154" s="13" t="s">
        <v>934</v>
      </c>
      <c r="AE154" s="97" t="str">
        <v>EQ-0149</v>
      </c>
      <c r="AF154" s="98" t="str">
        <v>hot water boiler / urn</v>
      </c>
      <c r="AG154" s="98" t="str">
        <v>CONDITIONAL_MATCH</v>
      </c>
      <c r="AH154" s="98" t="str">
        <v>Match model or supported analogue, operating state, room allocation and all conditions in F. Use D/E only.</v>
      </c>
    </row>
    <row r="155">
      <c r="A155" s="1" t="s">
        <v>894</v>
      </c>
      <c r="B155" s="1" t="s">
        <v>938</v>
      </c>
      <c r="C155" s="13" t="s">
        <v>35</v>
      </c>
      <c r="D155" s="14">
        <v>469.0</v>
      </c>
      <c r="E155" s="14">
        <v>293.0</v>
      </c>
      <c r="F155" s="13" t="s">
        <v>939</v>
      </c>
      <c r="G155" s="18">
        <v>762.0</v>
      </c>
      <c r="H155" s="19">
        <f t="shared" si="5"/>
        <v>0.762</v>
      </c>
      <c r="I155" s="1" t="s">
        <v>940</v>
      </c>
      <c r="J155" s="1" t="s">
        <v>941</v>
      </c>
      <c r="K155" s="1" t="s">
        <v>942</v>
      </c>
      <c r="L155" s="11" t="s">
        <v>943</v>
      </c>
      <c r="M155" s="1" t="s">
        <v>459</v>
      </c>
      <c r="N155" s="1" t="s">
        <v>42</v>
      </c>
      <c r="O155" s="1">
        <v>879.0</v>
      </c>
      <c r="P155" s="1">
        <v>469.0</v>
      </c>
      <c r="Q155" s="1">
        <v>293.0</v>
      </c>
      <c r="R155" s="1" t="s">
        <v>901</v>
      </c>
      <c r="S155" s="1" t="s">
        <v>944</v>
      </c>
      <c r="T155" s="1" t="s">
        <v>940</v>
      </c>
      <c r="U155" s="1" t="s">
        <v>676</v>
      </c>
      <c r="V155" s="1" t="s">
        <v>46</v>
      </c>
      <c r="W155" s="1" t="s">
        <v>47</v>
      </c>
      <c r="X155" s="1" t="s">
        <v>48</v>
      </c>
      <c r="Y155" s="1" t="s">
        <v>49</v>
      </c>
      <c r="Z155" s="1" t="s">
        <v>50</v>
      </c>
      <c r="AA155" s="12">
        <v>762.0</v>
      </c>
      <c r="AB155" s="12">
        <f t="shared" si="2"/>
        <v>0.762</v>
      </c>
      <c r="AC155" s="13" t="s">
        <v>51</v>
      </c>
      <c r="AD155" s="13" t="s">
        <v>939</v>
      </c>
      <c r="AE155" s="97" t="str">
        <v>EQ-0150</v>
      </c>
      <c r="AF155" s="98" t="str">
        <v>toaster</v>
      </c>
      <c r="AG155" s="98" t="str">
        <v>CONDITIONAL_MATCH</v>
      </c>
      <c r="AH155" s="98" t="str">
        <v>Match model or supported analogue, operating state, room allocation and all conditions in F. Use D/E only.</v>
      </c>
    </row>
    <row r="156">
      <c r="A156" s="1" t="s">
        <v>894</v>
      </c>
      <c r="B156" s="1" t="s">
        <v>945</v>
      </c>
      <c r="C156" s="13" t="s">
        <v>53</v>
      </c>
      <c r="D156" s="14">
        <v>912.0</v>
      </c>
      <c r="E156" s="14">
        <v>150.0</v>
      </c>
      <c r="F156" s="13" t="s">
        <v>946</v>
      </c>
      <c r="G156" s="18">
        <v>1062.0</v>
      </c>
      <c r="H156" s="19">
        <f t="shared" si="5"/>
        <v>1.062</v>
      </c>
      <c r="I156" s="1" t="s">
        <v>947</v>
      </c>
      <c r="J156" s="1" t="s">
        <v>705</v>
      </c>
      <c r="K156" s="1" t="s">
        <v>948</v>
      </c>
      <c r="L156" s="11" t="s">
        <v>58</v>
      </c>
      <c r="M156" s="1" t="s">
        <v>459</v>
      </c>
      <c r="N156" s="1" t="s">
        <v>42</v>
      </c>
      <c r="O156" s="1" t="s">
        <v>606</v>
      </c>
      <c r="P156" s="1">
        <v>912.0</v>
      </c>
      <c r="Q156" s="1">
        <v>150.0</v>
      </c>
      <c r="R156" s="1" t="s">
        <v>901</v>
      </c>
      <c r="S156" s="1" t="s">
        <v>949</v>
      </c>
      <c r="T156" s="1" t="s">
        <v>947</v>
      </c>
      <c r="U156" s="1" t="s">
        <v>608</v>
      </c>
      <c r="V156" s="1" t="s">
        <v>46</v>
      </c>
      <c r="W156" s="1" t="s">
        <v>47</v>
      </c>
      <c r="X156" s="1" t="s">
        <v>48</v>
      </c>
      <c r="Y156" s="1" t="s">
        <v>49</v>
      </c>
      <c r="Z156" s="1" t="s">
        <v>50</v>
      </c>
      <c r="AA156" s="12">
        <v>1062.0</v>
      </c>
      <c r="AB156" s="12">
        <f t="shared" si="2"/>
        <v>1.062</v>
      </c>
      <c r="AC156" s="13" t="s">
        <v>51</v>
      </c>
      <c r="AD156" s="13" t="s">
        <v>946</v>
      </c>
      <c r="AE156" s="97" t="str">
        <v>EQ-0151</v>
      </c>
      <c r="AF156" s="98" t="str">
        <v>sandwich press</v>
      </c>
      <c r="AG156" s="98" t="str">
        <v>CONDITIONAL_MATCH</v>
      </c>
      <c r="AH156" s="98" t="str">
        <v>Match model or supported analogue, operating state, room allocation and all conditions in F. Use D/E only.</v>
      </c>
    </row>
    <row r="157">
      <c r="A157" s="1" t="s">
        <v>894</v>
      </c>
      <c r="B157" s="1" t="s">
        <v>950</v>
      </c>
      <c r="C157" s="13" t="s">
        <v>479</v>
      </c>
      <c r="D157" s="14" t="s">
        <v>67</v>
      </c>
      <c r="E157" s="14" t="s">
        <v>67</v>
      </c>
      <c r="F157" s="7" t="inlineStr">
        <is>
          <t>Further research required if this item is used in the project. NUMERIC EXAMPLE: 1500 W (1.5 kW); ELECTRICAL INPUT — not established room heat.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t>
        </is>
      </c>
      <c r="G157" s="18" t="s">
        <v>616</v>
      </c>
      <c r="H157" s="19" t="s">
        <v>616</v>
      </c>
      <c r="I157" s="1" t="s">
        <v>952</v>
      </c>
      <c r="J157" s="1" t="s">
        <v>953</v>
      </c>
      <c r="K157" s="1" t="s">
        <v>954</v>
      </c>
      <c r="L157" s="11" t="s">
        <v>955</v>
      </c>
      <c r="M157" s="1" t="s">
        <v>485</v>
      </c>
      <c r="N157" s="1" t="s">
        <v>42</v>
      </c>
      <c r="O157" s="1">
        <v>1500.0</v>
      </c>
      <c r="P157" s="1" t="s">
        <v>486</v>
      </c>
      <c r="Q157" s="1" t="s">
        <v>486</v>
      </c>
      <c r="R157" s="1" t="s">
        <v>901</v>
      </c>
      <c r="S157" s="1" t="s">
        <v>956</v>
      </c>
      <c r="T157" s="1" t="s">
        <v>952</v>
      </c>
      <c r="U157" s="1" t="s">
        <v>957</v>
      </c>
      <c r="V157" s="1" t="s">
        <v>200</v>
      </c>
      <c r="W157" s="1" t="s">
        <v>953</v>
      </c>
      <c r="X157" s="1" t="s">
        <v>903</v>
      </c>
      <c r="Y157" s="1" t="s">
        <v>904</v>
      </c>
      <c r="Z157" s="1" t="s">
        <v>50</v>
      </c>
      <c r="AA157" s="16">
        <v>1500.0</v>
      </c>
      <c r="AB157" s="16">
        <f t="shared" si="2"/>
        <v>1.5</v>
      </c>
      <c r="AC157" s="17" t="s">
        <v>878</v>
      </c>
      <c r="AD157" s="17" t="inlineStr">
        <is>
          <t>Further research required if this item is used in the project. Existing electrical reference for Air fryer: 1500 W.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 This is not a measured sensible/latent room load. Only a closed energy balance can justify equating it to eventual total heat; external steam, refrigerant, fluid, work, storage and exhaust can change that result. REQUIRED: 1500 W is the existing Philips NA220/00 electrical-rating reference, not usual room heat; source could not be re-fetched on 19 Oct 2026. Obtain model data or measured input by cooking cycle, food/water load, vapour release, hood capture and where cooked food cools. Do not enter rated input as sensible heat and then add moisture heat again. D/E remain blocked.</t>
        </is>
      </c>
      <c r="AE157" s="97" t="str">
        <v>EQ-0152</v>
      </c>
      <c r="AF157" s="98" t="str">
        <v>air fryer</v>
      </c>
      <c r="AG157" s="98" t="str">
        <v>REFERENCE_ONLY</v>
      </c>
      <c r="AH157" s="98" t="str">
        <v>Do not auto-use reference wattage. Resolve the missing heat data or document a project estimate.</v>
      </c>
    </row>
    <row r="158">
      <c r="A158" s="1" t="s">
        <v>894</v>
      </c>
      <c r="B158" s="1" t="s">
        <v>959</v>
      </c>
      <c r="C158" s="13" t="s">
        <v>53</v>
      </c>
      <c r="D158" s="14">
        <v>318.0</v>
      </c>
      <c r="E158" s="14">
        <v>335.0</v>
      </c>
      <c r="F158" s="13" t="s">
        <v>960</v>
      </c>
      <c r="G158" s="18">
        <v>653.0</v>
      </c>
      <c r="H158" s="19">
        <f>G158/1000</f>
        <v>0.653</v>
      </c>
      <c r="I158" s="1" t="s">
        <v>947</v>
      </c>
      <c r="J158" s="1" t="s">
        <v>705</v>
      </c>
      <c r="K158" s="1" t="s">
        <v>961</v>
      </c>
      <c r="L158" s="11" t="s">
        <v>58</v>
      </c>
      <c r="M158" s="1" t="s">
        <v>459</v>
      </c>
      <c r="N158" s="1" t="s">
        <v>42</v>
      </c>
      <c r="O158" s="1" t="s">
        <v>606</v>
      </c>
      <c r="P158" s="1">
        <v>318.0</v>
      </c>
      <c r="Q158" s="1">
        <v>335.0</v>
      </c>
      <c r="R158" s="1" t="s">
        <v>901</v>
      </c>
      <c r="S158" s="1" t="s">
        <v>962</v>
      </c>
      <c r="T158" s="1" t="s">
        <v>947</v>
      </c>
      <c r="U158" s="1" t="s">
        <v>608</v>
      </c>
      <c r="V158" s="1" t="s">
        <v>46</v>
      </c>
      <c r="W158" s="1" t="s">
        <v>47</v>
      </c>
      <c r="X158" s="1" t="s">
        <v>48</v>
      </c>
      <c r="Y158" s="1" t="s">
        <v>49</v>
      </c>
      <c r="Z158" s="1" t="s">
        <v>50</v>
      </c>
      <c r="AA158" s="12">
        <v>653.0</v>
      </c>
      <c r="AB158" s="12">
        <f t="shared" si="2"/>
        <v>0.653</v>
      </c>
      <c r="AC158" s="13" t="s">
        <v>51</v>
      </c>
      <c r="AD158" s="13" t="s">
        <v>960</v>
      </c>
      <c r="AE158" s="97" t="str">
        <v>EQ-0153</v>
      </c>
      <c r="AF158" s="98" t="str">
        <v>bench-top induction cooktop</v>
      </c>
      <c r="AG158" s="98" t="str">
        <v>CONDITIONAL_MATCH</v>
      </c>
      <c r="AH158" s="98" t="str">
        <v>Match model or supported analogue, operating state, room allocation and all conditions in F. Use D/E only.</v>
      </c>
    </row>
    <row r="159">
      <c r="A159" s="1" t="s">
        <v>894</v>
      </c>
      <c r="B159" s="1" t="s">
        <v>963</v>
      </c>
      <c r="C159" s="7" t="s">
        <v>53</v>
      </c>
      <c r="D159" s="8">
        <v>940.0</v>
      </c>
      <c r="E159" s="8">
        <v>44.0</v>
      </c>
      <c r="F159" s="7" t="s">
        <v>964</v>
      </c>
      <c r="G159" s="18" t="s">
        <v>616</v>
      </c>
      <c r="H159" s="19" t="s">
        <v>616</v>
      </c>
      <c r="I159" s="1" t="s">
        <v>965</v>
      </c>
      <c r="J159" s="1" t="s">
        <v>966</v>
      </c>
      <c r="K159" s="1" t="s">
        <v>967</v>
      </c>
      <c r="L159" s="11" t="s">
        <v>58</v>
      </c>
      <c r="M159" s="1" t="s">
        <v>968</v>
      </c>
      <c r="N159" s="1" t="s">
        <v>42</v>
      </c>
      <c r="O159" s="1" t="s">
        <v>969</v>
      </c>
      <c r="P159" s="1">
        <v>940.0</v>
      </c>
      <c r="Q159" s="1">
        <v>44.0</v>
      </c>
      <c r="R159" s="1" t="s">
        <v>901</v>
      </c>
      <c r="S159" s="1" t="s">
        <v>970</v>
      </c>
      <c r="T159" s="1" t="s">
        <v>965</v>
      </c>
      <c r="U159" s="1" t="s">
        <v>971</v>
      </c>
      <c r="V159" s="1" t="s">
        <v>46</v>
      </c>
      <c r="W159" s="1" t="s">
        <v>47</v>
      </c>
      <c r="X159" s="1" t="s">
        <v>48</v>
      </c>
      <c r="Y159" s="1" t="s">
        <v>49</v>
      </c>
      <c r="Z159" s="1" t="s">
        <v>50</v>
      </c>
      <c r="AA159" s="12">
        <v>984.0</v>
      </c>
      <c r="AB159" s="12">
        <f t="shared" si="2"/>
        <v>0.984</v>
      </c>
      <c r="AC159" s="13" t="s">
        <v>51</v>
      </c>
      <c r="AD159" s="13" t="s">
        <v>964</v>
      </c>
      <c r="AE159" s="97" t="str">
        <v>EQ-0154</v>
      </c>
      <c r="AF159" s="98" t="str">
        <v>electric cooktop</v>
      </c>
      <c r="AG159" s="98" t="str">
        <v>CONDITIONAL_MATCH</v>
      </c>
      <c r="AH159" s="98" t="str">
        <v>Match model or supported analogue, operating state, room allocation and all conditions in F. Use D/E only.</v>
      </c>
    </row>
    <row r="160">
      <c r="A160" s="1" t="s">
        <v>894</v>
      </c>
      <c r="B160" s="1" t="s">
        <v>972</v>
      </c>
      <c r="C160" s="13" t="s">
        <v>479</v>
      </c>
      <c r="D160" s="14" t="s">
        <v>67</v>
      </c>
      <c r="E160" s="14" t="s">
        <v>67</v>
      </c>
      <c r="F160" s="7" t="inlineStr">
        <is>
          <t>Further research required if this item is used in the project. NUMERIC EXAMPLE: 3000 W (3 kW); ELECTRICAL INPUT — not established room heat.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t>
        </is>
      </c>
      <c r="G160" s="18" t="s">
        <v>616</v>
      </c>
      <c r="H160" s="19" t="s">
        <v>616</v>
      </c>
      <c r="I160" s="1" t="s">
        <v>974</v>
      </c>
      <c r="J160" s="1" t="s">
        <v>975</v>
      </c>
      <c r="K160" s="1" t="s">
        <v>976</v>
      </c>
      <c r="L160" s="11" t="s">
        <v>977</v>
      </c>
      <c r="M160" s="1" t="s">
        <v>485</v>
      </c>
      <c r="N160" s="1" t="s">
        <v>42</v>
      </c>
      <c r="O160" s="1">
        <v>3000.0</v>
      </c>
      <c r="P160" s="1" t="s">
        <v>486</v>
      </c>
      <c r="Q160" s="1" t="s">
        <v>486</v>
      </c>
      <c r="R160" s="1" t="s">
        <v>901</v>
      </c>
      <c r="S160" s="1" t="s">
        <v>978</v>
      </c>
      <c r="T160" s="1" t="s">
        <v>974</v>
      </c>
      <c r="U160" s="1" t="s">
        <v>957</v>
      </c>
      <c r="V160" s="1" t="s">
        <v>200</v>
      </c>
      <c r="W160" s="1" t="s">
        <v>975</v>
      </c>
      <c r="X160" s="1" t="s">
        <v>903</v>
      </c>
      <c r="Y160" s="1" t="s">
        <v>904</v>
      </c>
      <c r="Z160" s="1" t="s">
        <v>50</v>
      </c>
      <c r="AA160" s="16">
        <v>3000.0</v>
      </c>
      <c r="AB160" s="16">
        <f t="shared" si="2"/>
        <v>3</v>
      </c>
      <c r="AC160" s="17" t="s">
        <v>878</v>
      </c>
      <c r="AD160" s="17" t="inlineStr">
        <is>
          <t>Further research required if this item is used in the project. Existing electrical reference for Electric oven: 3000 W.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 This is not a measured sensible/latent room load. Only a closed energy balance can justify equating it to eventual total heat; external steam, refrigerant, fluid, work, storage and exhaust can change that result. REQUIRED: For Smeg SF6300TVX, electrical rating is not room heat. Obtain preheat, baking and standby durations plus actual input, food heat retained/exported, steam and exhaust paths. Manufacturer room-emission data or a process energy balance is required for D/E. The same physical oven may appear under Electric wall oven; count it once. Do not invent a fixed sensible/latent percentage.</t>
        </is>
      </c>
      <c r="AE160" s="97" t="str">
        <v>EQ-0155</v>
      </c>
      <c r="AF160" s="98" t="str">
        <v>electric oven</v>
      </c>
      <c r="AG160" s="98" t="str">
        <v>REFERENCE_ONLY</v>
      </c>
      <c r="AH160" s="98" t="str">
        <v>Do not auto-use reference wattage. Resolve the missing heat data or document a project estimate.</v>
      </c>
    </row>
    <row r="161">
      <c r="A161" s="1" t="s">
        <v>894</v>
      </c>
      <c r="B161" s="1" t="s">
        <v>980</v>
      </c>
      <c r="C161" s="13" t="s">
        <v>921</v>
      </c>
      <c r="D161" s="14">
        <v>440.0</v>
      </c>
      <c r="E161" s="14">
        <v>0.0</v>
      </c>
      <c r="F161" s="13" t="s">
        <v>981</v>
      </c>
      <c r="G161" s="18">
        <v>440.0</v>
      </c>
      <c r="H161" s="19">
        <f t="shared" ref="H161:H162" si="6">G161/1000</f>
        <v>0.44</v>
      </c>
      <c r="I161" s="1" t="s">
        <v>982</v>
      </c>
      <c r="J161" s="1" t="s">
        <v>705</v>
      </c>
      <c r="K161" s="1" t="s">
        <v>983</v>
      </c>
      <c r="L161" s="11" t="s">
        <v>58</v>
      </c>
      <c r="M161" s="1" t="s">
        <v>459</v>
      </c>
      <c r="N161" s="1" t="s">
        <v>42</v>
      </c>
      <c r="O161" s="1" t="s">
        <v>606</v>
      </c>
      <c r="P161" s="1">
        <v>440.0</v>
      </c>
      <c r="Q161" s="1">
        <v>0.0</v>
      </c>
      <c r="R161" s="1" t="s">
        <v>901</v>
      </c>
      <c r="S161" s="1" t="s">
        <v>984</v>
      </c>
      <c r="T161" s="1" t="s">
        <v>982</v>
      </c>
      <c r="U161" s="1" t="s">
        <v>608</v>
      </c>
      <c r="V161" s="1" t="s">
        <v>46</v>
      </c>
      <c r="W161" s="1" t="s">
        <v>47</v>
      </c>
      <c r="X161" s="1" t="s">
        <v>903</v>
      </c>
      <c r="Y161" s="1" t="s">
        <v>904</v>
      </c>
      <c r="Z161" s="1" t="s">
        <v>50</v>
      </c>
      <c r="AA161" s="12">
        <v>440.0</v>
      </c>
      <c r="AB161" s="12">
        <f t="shared" si="2"/>
        <v>0.44</v>
      </c>
      <c r="AC161" s="13" t="s">
        <v>51</v>
      </c>
      <c r="AD161" s="13" t="s">
        <v>981</v>
      </c>
      <c r="AE161" s="97" t="str">
        <v>EQ-0156</v>
      </c>
      <c r="AF161" s="98" t="str">
        <v>commercial convection oven</v>
      </c>
      <c r="AG161" s="98" t="str">
        <v>CONDITIONAL_MATCH</v>
      </c>
      <c r="AH161" s="98" t="str">
        <v>Match model or supported analogue, operating state, room allocation and all conditions in F. Use D/E only.</v>
      </c>
    </row>
    <row r="162">
      <c r="A162" s="1" t="s">
        <v>894</v>
      </c>
      <c r="B162" s="1" t="s">
        <v>985</v>
      </c>
      <c r="C162" s="13" t="s">
        <v>986</v>
      </c>
      <c r="D162" s="14">
        <v>1172.28</v>
      </c>
      <c r="E162" s="14">
        <v>1348.13</v>
      </c>
      <c r="F162" s="13" t="s">
        <v>987</v>
      </c>
      <c r="G162" s="18">
        <v>2520.41</v>
      </c>
      <c r="H162" s="19">
        <f t="shared" si="6"/>
        <v>2.52041</v>
      </c>
      <c r="I162" s="1" t="s">
        <v>988</v>
      </c>
      <c r="J162" s="1" t="s">
        <v>989</v>
      </c>
      <c r="K162" s="1" t="s">
        <v>990</v>
      </c>
      <c r="L162" s="11" t="s">
        <v>991</v>
      </c>
      <c r="M162" s="1" t="s">
        <v>524</v>
      </c>
      <c r="N162" s="1" t="s">
        <v>42</v>
      </c>
      <c r="O162" s="1" t="s">
        <v>606</v>
      </c>
      <c r="P162" s="1">
        <v>1172.28</v>
      </c>
      <c r="Q162" s="1">
        <v>1348.13</v>
      </c>
      <c r="R162" s="1" t="s">
        <v>901</v>
      </c>
      <c r="S162" s="1" t="s">
        <v>992</v>
      </c>
      <c r="T162" s="1" t="s">
        <v>988</v>
      </c>
      <c r="U162" s="1" t="s">
        <v>993</v>
      </c>
      <c r="V162" s="1" t="s">
        <v>46</v>
      </c>
      <c r="W162" s="1" t="s">
        <v>47</v>
      </c>
      <c r="X162" s="1" t="s">
        <v>48</v>
      </c>
      <c r="Y162" s="1" t="s">
        <v>49</v>
      </c>
      <c r="Z162" s="1" t="s">
        <v>50</v>
      </c>
      <c r="AA162" s="12">
        <v>2520.41</v>
      </c>
      <c r="AB162" s="12">
        <f t="shared" si="2"/>
        <v>2.52041</v>
      </c>
      <c r="AC162" s="13" t="s">
        <v>51</v>
      </c>
      <c r="AD162" s="13" t="s">
        <v>987</v>
      </c>
      <c r="AE162" s="97" t="str">
        <v>EQ-0157</v>
      </c>
      <c r="AF162" s="98" t="str">
        <v>commercial dishwasher</v>
      </c>
      <c r="AG162" s="98" t="str">
        <v>CONDITIONAL_MATCH</v>
      </c>
      <c r="AH162" s="98" t="str">
        <v>Match model or supported analogue, operating state, room allocation and all conditions in F. Use D/E only.</v>
      </c>
    </row>
    <row r="163">
      <c r="A163" s="1" t="s">
        <v>894</v>
      </c>
      <c r="B163" s="1" t="s">
        <v>994</v>
      </c>
      <c r="C163" s="13" t="s">
        <v>479</v>
      </c>
      <c r="D163" s="14" t="s">
        <v>67</v>
      </c>
      <c r="E163" s="14" t="s">
        <v>67</v>
      </c>
      <c r="F163" s="7" t="inlineStr">
        <is>
          <t>Further research required if this item is used in the project. NUMERIC EXAMPLE: 1800 W (1.8 kW); ELECTRICAL INPUT — not established room heat.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t>
        </is>
      </c>
      <c r="G163" s="18" t="s">
        <v>616</v>
      </c>
      <c r="H163" s="19" t="s">
        <v>616</v>
      </c>
      <c r="I163" s="1" t="s">
        <v>996</v>
      </c>
      <c r="J163" s="1" t="s">
        <v>997</v>
      </c>
      <c r="K163" s="1" t="s">
        <v>998</v>
      </c>
      <c r="L163" s="11" t="s">
        <v>999</v>
      </c>
      <c r="M163" s="1" t="s">
        <v>485</v>
      </c>
      <c r="N163" s="1" t="s">
        <v>42</v>
      </c>
      <c r="O163" s="1">
        <v>1800.0</v>
      </c>
      <c r="P163" s="1" t="s">
        <v>486</v>
      </c>
      <c r="Q163" s="1" t="s">
        <v>486</v>
      </c>
      <c r="R163" s="1" t="s">
        <v>901</v>
      </c>
      <c r="S163" s="1" t="s">
        <v>69</v>
      </c>
      <c r="T163" s="1" t="s">
        <v>996</v>
      </c>
      <c r="U163" s="1" t="s">
        <v>957</v>
      </c>
      <c r="V163" s="1" t="s">
        <v>200</v>
      </c>
      <c r="W163" s="1" t="s">
        <v>997</v>
      </c>
      <c r="X163" s="1" t="s">
        <v>48</v>
      </c>
      <c r="Y163" s="1" t="s">
        <v>49</v>
      </c>
      <c r="Z163" s="1" t="s">
        <v>50</v>
      </c>
      <c r="AA163" s="16">
        <v>1800.0</v>
      </c>
      <c r="AB163" s="16">
        <f t="shared" si="2"/>
        <v>1.8</v>
      </c>
      <c r="AC163" s="17" t="s">
        <v>878</v>
      </c>
      <c r="AD163" s="17" t="inlineStr">
        <is>
          <t>Further research required if this item is used in the project. Existing electrical reference for Domestic dishwasher: 1800 W.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 This is not a measured sensible/latent room load. Only a closed energy balance can justify equating it to eventual total heat; external steam, refrigerant, fluid, work, storage and exhaust can change that result. REQUIRED: Samsung DW50DG430B00EU electrical heater/cycle-energy references do not establish room emissions. Need cycle duration and cycles/hour, water supply/drain temperature, door-opening and drying method, and where hot dishes cool. kWh/cycle ÷ cycle-hours gives average electrical kW, NOT automatically room heat. Hot drain water exports energy. Use documented sensible/latent room emissions; D/E remain blocked.</t>
        </is>
      </c>
      <c r="AE163" s="97" t="str">
        <v>EQ-0158</v>
      </c>
      <c r="AF163" s="98" t="str">
        <v>domestic dishwasher</v>
      </c>
      <c r="AG163" s="98" t="str">
        <v>REFERENCE_ONLY</v>
      </c>
      <c r="AH163" s="98" t="str">
        <v>Do not auto-use reference wattage. Resolve the missing heat data or document a project estimate.</v>
      </c>
    </row>
    <row r="164">
      <c r="A164" s="1" t="s">
        <v>894</v>
      </c>
      <c r="B164" s="1" t="s">
        <v>1001</v>
      </c>
      <c r="C164" s="13" t="s">
        <v>194</v>
      </c>
      <c r="D164" s="14" t="s">
        <v>67</v>
      </c>
      <c r="E164" s="14" t="s">
        <v>67</v>
      </c>
      <c r="F164" s="7" t="inlineStr">
        <is>
          <t>Further research required if this item is used in the project. NUMERIC EXAMPLE: 11.19 W (0.01119 kW); EXISTING REFERENCE — scope/state limits apply.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t>
        </is>
      </c>
      <c r="G164" s="18">
        <v>11.19</v>
      </c>
      <c r="H164" s="19">
        <f t="shared" ref="H164:H168" si="7">G164/1000</f>
        <v>0.01119</v>
      </c>
      <c r="I164" s="1" t="s">
        <v>1003</v>
      </c>
      <c r="J164" s="1" t="s">
        <v>1004</v>
      </c>
      <c r="K164" s="1" t="s">
        <v>1005</v>
      </c>
      <c r="L164" s="11" t="s">
        <v>1006</v>
      </c>
      <c r="M164" s="1" t="s">
        <v>459</v>
      </c>
      <c r="N164" s="1" t="s">
        <v>42</v>
      </c>
      <c r="O164" s="1">
        <v>11.19</v>
      </c>
      <c r="P164" s="1">
        <v>11.19</v>
      </c>
      <c r="Q164" s="1">
        <v>0.0</v>
      </c>
      <c r="R164" s="1" t="s">
        <v>901</v>
      </c>
      <c r="S164" s="1" t="s">
        <v>1007</v>
      </c>
      <c r="T164" s="1" t="s">
        <v>1003</v>
      </c>
      <c r="U164" s="1" t="s">
        <v>957</v>
      </c>
      <c r="V164" s="1" t="s">
        <v>200</v>
      </c>
      <c r="W164" s="1" t="s">
        <v>1004</v>
      </c>
      <c r="X164" s="1" t="s">
        <v>176</v>
      </c>
      <c r="Y164" s="1" t="s">
        <v>189</v>
      </c>
      <c r="Z164" s="1" t="s">
        <v>50</v>
      </c>
      <c r="AA164" s="16">
        <v>11.19</v>
      </c>
      <c r="AB164" s="16">
        <f t="shared" si="2"/>
        <v>0.01119</v>
      </c>
      <c r="AC164" s="17" t="s">
        <v>201</v>
      </c>
      <c r="AD164" s="17" t="inlineStr">
        <is>
          <t>Further research required if this item is used in the project. Annual-label energy average, 98 kWh/year ÷ 8760 h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 This retains the original reference, including any unresolved source limitations; it is not newly validated net room heat. REQUIRED: 11.19 W is an existing annual-label arithmetic example (98,000 Wh ÷ 8760 h), NOT a design-hour or compressor-on load. The 98 kWh/year figure was not confirmed in the currently retrieved product page; retain as unverified historical reference. Obtain actual unit data and peak operating/defrost state, condenser location and under-bench ventilation. Do not use this annual average to size cooling; D/E remain blocked.</t>
        </is>
      </c>
      <c r="AE164" s="97" t="str">
        <v>EQ-0159</v>
      </c>
      <c r="AF164" s="98" t="str">
        <v>under-bench refrigerator</v>
      </c>
      <c r="AG164" s="98" t="str">
        <v>REFERENCE_ONLY</v>
      </c>
      <c r="AH164" s="98" t="str">
        <v>Do not auto-use reference wattage. Resolve the missing heat data or document a project estimate.</v>
      </c>
    </row>
    <row r="165">
      <c r="A165" s="1" t="s">
        <v>894</v>
      </c>
      <c r="B165" s="1" t="s">
        <v>1009</v>
      </c>
      <c r="C165" s="7" t="s">
        <v>178</v>
      </c>
      <c r="D165" s="8">
        <v>430.0</v>
      </c>
      <c r="E165" s="8">
        <v>0.0</v>
      </c>
      <c r="F165" s="7" t="s">
        <v>1010</v>
      </c>
      <c r="G165" s="18">
        <v>430.0</v>
      </c>
      <c r="H165" s="20">
        <f t="shared" si="7"/>
        <v>0.43</v>
      </c>
      <c r="I165" s="1" t="s">
        <v>1011</v>
      </c>
      <c r="J165" s="1" t="s">
        <v>1010</v>
      </c>
      <c r="K165" s="1" t="s">
        <v>1012</v>
      </c>
      <c r="L165" s="11" t="s">
        <v>58</v>
      </c>
      <c r="M165" s="1" t="s">
        <v>1013</v>
      </c>
      <c r="N165" s="2" t="s">
        <v>42</v>
      </c>
      <c r="O165" s="2" t="s">
        <v>67</v>
      </c>
      <c r="P165" s="1">
        <v>430.0</v>
      </c>
      <c r="Q165" s="1">
        <v>0.0</v>
      </c>
      <c r="R165" s="1" t="s">
        <v>901</v>
      </c>
      <c r="S165" s="1" t="s">
        <v>1014</v>
      </c>
      <c r="T165" s="1" t="s">
        <v>1015</v>
      </c>
      <c r="U165" s="1" t="s">
        <v>1016</v>
      </c>
      <c r="V165" s="1" t="s">
        <v>46</v>
      </c>
      <c r="W165" s="1" t="s">
        <v>47</v>
      </c>
      <c r="X165" s="1" t="s">
        <v>176</v>
      </c>
      <c r="Y165" s="1" t="s">
        <v>189</v>
      </c>
      <c r="Z165" s="1" t="s">
        <v>50</v>
      </c>
      <c r="AA165" s="12">
        <v>430.0</v>
      </c>
      <c r="AB165" s="12">
        <f t="shared" si="2"/>
        <v>0.43</v>
      </c>
      <c r="AC165" s="13" t="s">
        <v>51</v>
      </c>
      <c r="AD165" s="13" t="s">
        <v>1010</v>
      </c>
      <c r="AE165" s="97" t="str">
        <v>EQ-0160</v>
      </c>
      <c r="AF165" s="98" t="str">
        <v>full-size refrigerator</v>
      </c>
      <c r="AG165" s="98" t="str">
        <v>CONDITIONAL_MATCH</v>
      </c>
      <c r="AH165" s="98" t="str">
        <v>Match model or supported analogue, operating state, room allocation and all conditions in F. Use D/E only.</v>
      </c>
    </row>
    <row r="166">
      <c r="A166" s="1" t="s">
        <v>894</v>
      </c>
      <c r="B166" s="1" t="s">
        <v>1017</v>
      </c>
      <c r="C166" s="13" t="s">
        <v>194</v>
      </c>
      <c r="D166" s="14" t="s">
        <v>67</v>
      </c>
      <c r="E166" s="14" t="s">
        <v>67</v>
      </c>
      <c r="F166" s="7" t="inlineStr">
        <is>
          <t>Further research required if this item is used in the project. NUMERIC EXAMPLE: 34.13 W (0.03413 kW); EXISTING REFERENCE — scope/state limits apply.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t>
        </is>
      </c>
      <c r="G166" s="18">
        <v>34.13</v>
      </c>
      <c r="H166" s="19">
        <f t="shared" si="7"/>
        <v>0.03413</v>
      </c>
      <c r="I166" s="1" t="s">
        <v>1019</v>
      </c>
      <c r="J166" s="1" t="s">
        <v>1020</v>
      </c>
      <c r="K166" s="1" t="s">
        <v>1021</v>
      </c>
      <c r="L166" s="11" t="s">
        <v>1022</v>
      </c>
      <c r="M166" s="1" t="s">
        <v>459</v>
      </c>
      <c r="N166" s="1" t="s">
        <v>42</v>
      </c>
      <c r="O166" s="1">
        <v>34.13</v>
      </c>
      <c r="P166" s="1">
        <v>34.13</v>
      </c>
      <c r="Q166" s="1">
        <v>0.0</v>
      </c>
      <c r="R166" s="1" t="s">
        <v>901</v>
      </c>
      <c r="S166" s="1" t="s">
        <v>1023</v>
      </c>
      <c r="T166" s="1" t="s">
        <v>1019</v>
      </c>
      <c r="U166" s="1" t="s">
        <v>957</v>
      </c>
      <c r="V166" s="1" t="s">
        <v>200</v>
      </c>
      <c r="W166" s="1" t="s">
        <v>1020</v>
      </c>
      <c r="X166" s="1" t="s">
        <v>176</v>
      </c>
      <c r="Y166" s="1" t="s">
        <v>189</v>
      </c>
      <c r="Z166" s="1" t="s">
        <v>50</v>
      </c>
      <c r="AA166" s="16">
        <v>34.13</v>
      </c>
      <c r="AB166" s="16">
        <f t="shared" si="2"/>
        <v>0.03413</v>
      </c>
      <c r="AC166" s="17" t="s">
        <v>201</v>
      </c>
      <c r="AD166" s="17" t="inlineStr">
        <is>
          <t>Further research required if this item is used in the project. Annual-label energy average, 299 kWh/year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 This retains the original reference, including any unresolved source limitations; it is not newly validated net room heat. REQUIRED: 34.13 W is annual energy averaged over a year (299,000 Wh ÷ 8760 h), not an hourly design peak. Retain only as a historical energy-use reference pending current product-label confirmation. Obtain actual freezer power/heat at design ambient, compressor/defrost duty, loading and condenser location. Product freezing can change the room balance. No fixed conversion from annual energy to design heat is justified; D/E remain blocked.</t>
        </is>
      </c>
      <c r="AE166" s="97" t="str">
        <v>EQ-0161</v>
      </c>
      <c r="AF166" s="98" t="str">
        <v>chest freezer</v>
      </c>
      <c r="AG166" s="98" t="str">
        <v>REFERENCE_ONLY</v>
      </c>
      <c r="AH166" s="98" t="str">
        <v>Do not auto-use reference wattage. Resolve the missing heat data or document a project estimate.</v>
      </c>
    </row>
    <row r="167">
      <c r="A167" s="1" t="s">
        <v>894</v>
      </c>
      <c r="B167" s="1" t="s">
        <v>1025</v>
      </c>
      <c r="C167" s="13" t="s">
        <v>194</v>
      </c>
      <c r="D167" s="14" t="s">
        <v>67</v>
      </c>
      <c r="E167" s="14" t="s">
        <v>67</v>
      </c>
      <c r="F167" s="7" t="inlineStr">
        <is>
          <t>Further research required if this item is used in the project. NUMERIC EXAMPLE: 1595.2 W (1.5952 kW); EXISTING REFERENCE — scope/state limits apply.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t>
        </is>
      </c>
      <c r="G167" s="18">
        <v>1595.2</v>
      </c>
      <c r="H167" s="19">
        <f t="shared" si="7"/>
        <v>1.5952</v>
      </c>
      <c r="I167" s="1" t="s">
        <v>1027</v>
      </c>
      <c r="J167" s="1" t="s">
        <v>1028</v>
      </c>
      <c r="K167" s="1" t="s">
        <v>1029</v>
      </c>
      <c r="L167" s="11" t="s">
        <v>1030</v>
      </c>
      <c r="M167" s="1" t="s">
        <v>524</v>
      </c>
      <c r="N167" s="1" t="s">
        <v>42</v>
      </c>
      <c r="O167" s="1" t="s">
        <v>606</v>
      </c>
      <c r="P167" s="1" t="s">
        <v>68</v>
      </c>
      <c r="Q167" s="1" t="s">
        <v>68</v>
      </c>
      <c r="R167" s="1" t="s">
        <v>901</v>
      </c>
      <c r="S167" s="1" t="s">
        <v>1031</v>
      </c>
      <c r="T167" s="1" t="s">
        <v>1027</v>
      </c>
      <c r="U167" s="1" t="s">
        <v>957</v>
      </c>
      <c r="V167" s="1" t="s">
        <v>200</v>
      </c>
      <c r="W167" s="1" t="s">
        <v>1028</v>
      </c>
      <c r="X167" s="1" t="s">
        <v>176</v>
      </c>
      <c r="Y167" s="1" t="s">
        <v>189</v>
      </c>
      <c r="Z167" s="1" t="s">
        <v>50</v>
      </c>
      <c r="AA167" s="16">
        <v>1595.2</v>
      </c>
      <c r="AB167" s="16">
        <f t="shared" si="2"/>
        <v>1.5952</v>
      </c>
      <c r="AC167" s="17" t="s">
        <v>201</v>
      </c>
      <c r="AD167" s="17" t="inlineStr">
        <is>
          <t>Further research required if this item is used in the project. 32.2°C air / 21.1°C water; historical model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 This retains the original reference, including any unresolved source limitations; it is not newly validated net room heat. REQUIRED: 1595.2 W is the existing historical Hoshizaki KM-250B condenser-rejection reference, not automatically net room sensible heat. Source PDF could not be read by the web tool this pass (file-size limit). Confirm model/voltage, indoor air-cooled condenser, ambient/inlet-water conditions, production and harvest duty. Resolve cabinet heat extracted from this room, water/ice/drain energy flows and any moisture release. Do not add electrical input to heat rejection. D/E remain blocked.</t>
        </is>
      </c>
      <c r="AE167" s="97" t="str">
        <v>EQ-0162</v>
      </c>
      <c r="AF167" s="98" t="str">
        <v>ice machine - commercial</v>
      </c>
      <c r="AG167" s="98" t="str">
        <v>REFERENCE_ONLY</v>
      </c>
      <c r="AH167" s="98" t="str">
        <v>Do not auto-use reference wattage. Resolve the missing heat data or document a project estimate.</v>
      </c>
    </row>
    <row r="168">
      <c r="A168" s="1" t="s">
        <v>894</v>
      </c>
      <c r="B168" s="1" t="s">
        <v>1033</v>
      </c>
      <c r="C168" s="13" t="s">
        <v>194</v>
      </c>
      <c r="D168" s="14" t="s">
        <v>67</v>
      </c>
      <c r="E168" s="14" t="s">
        <v>67</v>
      </c>
      <c r="F168" s="7" t="inlineStr">
        <is>
          <t>Further research required if this item is used in the project. NUMERIC EXAMPLE: 350 W (0.35 kW); EXISTING REFERENCE — scope/state limits apply.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t>
        </is>
      </c>
      <c r="G168" s="18">
        <v>350.0</v>
      </c>
      <c r="H168" s="19">
        <f t="shared" si="7"/>
        <v>0.35</v>
      </c>
      <c r="I168" s="1" t="s">
        <v>1035</v>
      </c>
      <c r="J168" s="1" t="s">
        <v>1036</v>
      </c>
      <c r="K168" s="1" t="s">
        <v>1037</v>
      </c>
      <c r="L168" s="11" t="s">
        <v>58</v>
      </c>
      <c r="M168" s="1" t="s">
        <v>459</v>
      </c>
      <c r="N168" s="1" t="s">
        <v>42</v>
      </c>
      <c r="O168" s="1" t="s">
        <v>606</v>
      </c>
      <c r="P168" s="1" t="s">
        <v>486</v>
      </c>
      <c r="Q168" s="1" t="s">
        <v>486</v>
      </c>
      <c r="R168" s="1" t="s">
        <v>901</v>
      </c>
      <c r="S168" s="1" t="s">
        <v>1038</v>
      </c>
      <c r="T168" s="1" t="s">
        <v>1035</v>
      </c>
      <c r="U168" s="1" t="s">
        <v>957</v>
      </c>
      <c r="V168" s="1" t="s">
        <v>200</v>
      </c>
      <c r="W168" s="1" t="s">
        <v>1036</v>
      </c>
      <c r="X168" s="1" t="s">
        <v>48</v>
      </c>
      <c r="Y168" s="1" t="s">
        <v>49</v>
      </c>
      <c r="Z168" s="1" t="s">
        <v>50</v>
      </c>
      <c r="AA168" s="16">
        <v>350.0</v>
      </c>
      <c r="AB168" s="16">
        <f t="shared" si="2"/>
        <v>0.35</v>
      </c>
      <c r="AC168" s="17" t="s">
        <v>201</v>
      </c>
      <c r="AD168" s="17" t="inlineStr">
        <is>
          <t>Further research required if this item is used in the project. Table 10; upper measured peak example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 This retains the original reference, including any unresolved source limitations; it is not newly validated net room heat. REQUIRED: 350 W is the upper end of a historical bottled-water-cooler test range, not a verified room sensible/latent split. Need model, water throughput and inlet/outlet temperatures, condenser location and where chilled water is taken. Cooling incoming water and exporting chilled water changes room gain; do not assume the same balance as an unloaded closed fridge. No heating mode is covered. D/E remain blocked.</t>
        </is>
      </c>
      <c r="AE168" s="97" t="str">
        <v>EQ-0163</v>
      </c>
      <c r="AF168" s="98" t="str">
        <v>water cooler - compressor type</v>
      </c>
      <c r="AG168" s="98" t="str">
        <v>REFERENCE_ONLY</v>
      </c>
      <c r="AH168" s="98" t="str">
        <v>Do not auto-use reference wattage. Resolve the missing heat data or document a project estimate.</v>
      </c>
    </row>
    <row r="169">
      <c r="A169" s="1" t="s">
        <v>894</v>
      </c>
      <c r="B169" s="1" t="s">
        <v>1040</v>
      </c>
      <c r="C169" s="13" t="s">
        <v>479</v>
      </c>
      <c r="D169" s="14" t="s">
        <v>67</v>
      </c>
      <c r="E169" s="14" t="s">
        <v>67</v>
      </c>
      <c r="F169" s="7" t="inlineStr">
        <is>
          <t>Further research required if this item is used in the project. NUMERIC EXAMPLE: 1600 W (1.6 kW); ELECTRICAL INPUT — not established room heat.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t>
        </is>
      </c>
      <c r="G169" s="18" t="s">
        <v>616</v>
      </c>
      <c r="H169" s="19" t="s">
        <v>616</v>
      </c>
      <c r="I169" s="1" t="s">
        <v>1042</v>
      </c>
      <c r="J169" s="1" t="s">
        <v>1043</v>
      </c>
      <c r="K169" s="1" t="s">
        <v>1044</v>
      </c>
      <c r="L169" s="11" t="s">
        <v>1045</v>
      </c>
      <c r="M169" s="1" t="s">
        <v>485</v>
      </c>
      <c r="N169" s="1" t="s">
        <v>42</v>
      </c>
      <c r="O169" s="1">
        <v>1600.0</v>
      </c>
      <c r="P169" s="1" t="s">
        <v>486</v>
      </c>
      <c r="Q169" s="1" t="s">
        <v>486</v>
      </c>
      <c r="R169" s="1" t="s">
        <v>901</v>
      </c>
      <c r="S169" s="1" t="s">
        <v>1046</v>
      </c>
      <c r="T169" s="1" t="s">
        <v>1042</v>
      </c>
      <c r="U169" s="1" t="s">
        <v>957</v>
      </c>
      <c r="V169" s="1" t="s">
        <v>200</v>
      </c>
      <c r="W169" s="1" t="s">
        <v>1043</v>
      </c>
      <c r="X169" s="1" t="s">
        <v>48</v>
      </c>
      <c r="Y169" s="1" t="s">
        <v>49</v>
      </c>
      <c r="Z169" s="1" t="s">
        <v>50</v>
      </c>
      <c r="AA169" s="16">
        <v>1600.0</v>
      </c>
      <c r="AB169" s="16">
        <f t="shared" si="2"/>
        <v>1.6</v>
      </c>
      <c r="AC169" s="17" t="s">
        <v>878</v>
      </c>
      <c r="AD169" s="17" t="inlineStr">
        <is>
          <t>Further research required if this item is used in the project. Existing electrical reference for Hot-and-cold water dispenser: 1600 W.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 This is not a measured sensible/latent room load. Only a closed energy balance can justify equating it to eventual total heat; external steam, refrigerant, fluid, work, storage and exhaust can change that result. REQUIRED: Existing1600 W Novita W55 reference is maximum electrical input; manual could not be re-fetched this pass. Need hot/cold/ice operating modes, concurrent demand, throughput, standby, water and drain temperatures, condenser location and steam release. Calculate room emissions by mode; never sum component ratings as usual heat. Hot water and ice carried outside the room export energy. D/E remain blocked.</t>
        </is>
      </c>
      <c r="AE169" s="97" t="str">
        <v>EQ-0164</v>
      </c>
      <c r="AF169" s="98" t="str">
        <v>hot-and-cold water dispenser</v>
      </c>
      <c r="AG169" s="98" t="str">
        <v>REFERENCE_ONLY</v>
      </c>
      <c r="AH169" s="98" t="str">
        <v>Do not auto-use reference wattage. Resolve the missing heat data or document a project estimate.</v>
      </c>
    </row>
    <row r="170">
      <c r="A170" s="1" t="s">
        <v>894</v>
      </c>
      <c r="B170" s="1" t="s">
        <v>1048</v>
      </c>
      <c r="C170" s="13" t="s">
        <v>479</v>
      </c>
      <c r="D170" s="14" t="s">
        <v>67</v>
      </c>
      <c r="E170" s="14" t="s">
        <v>67</v>
      </c>
      <c r="F170" s="7" t="inlineStr">
        <is>
          <t>Further research required if this item is used in the project. NUMERIC EXAMPLE: 650 W (0.65 kW); ELECTRICAL INPUT — not established room heat.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t>
        </is>
      </c>
      <c r="G170" s="18" t="s">
        <v>616</v>
      </c>
      <c r="H170" s="19" t="s">
        <v>616</v>
      </c>
      <c r="I170" s="1" t="s">
        <v>1050</v>
      </c>
      <c r="J170" s="1" t="s">
        <v>1051</v>
      </c>
      <c r="K170" s="1" t="s">
        <v>1052</v>
      </c>
      <c r="L170" s="11" t="s">
        <v>1053</v>
      </c>
      <c r="M170" s="1" t="s">
        <v>485</v>
      </c>
      <c r="N170" s="1" t="s">
        <v>42</v>
      </c>
      <c r="O170" s="1">
        <v>650.0</v>
      </c>
      <c r="P170" s="1" t="s">
        <v>486</v>
      </c>
      <c r="Q170" s="1" t="s">
        <v>486</v>
      </c>
      <c r="R170" s="1" t="s">
        <v>901</v>
      </c>
      <c r="S170" s="1" t="s">
        <v>1054</v>
      </c>
      <c r="T170" s="1" t="s">
        <v>1050</v>
      </c>
      <c r="U170" s="1" t="s">
        <v>957</v>
      </c>
      <c r="V170" s="1" t="s">
        <v>200</v>
      </c>
      <c r="W170" s="1" t="s">
        <v>1051</v>
      </c>
      <c r="X170" s="1" t="s">
        <v>48</v>
      </c>
      <c r="Y170" s="1" t="s">
        <v>49</v>
      </c>
      <c r="Z170" s="1" t="s">
        <v>50</v>
      </c>
      <c r="AA170" s="16">
        <v>650.0</v>
      </c>
      <c r="AB170" s="16">
        <f t="shared" si="2"/>
        <v>0.65</v>
      </c>
      <c r="AC170" s="17" t="s">
        <v>878</v>
      </c>
      <c r="AD170" s="17" t="inlineStr">
        <is>
          <t>Further research required if this item is used in the project. Existing electrical reference for Bottle steriliser: 650 W.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 This is not a measured sensible/latent room load. Only a closed energy balance can justify equating it to eventual total heat; external steam, refrigerant, fluid, work, storage and exhaust can change that result. REQUIRED: Existing650 W Philips Avent SCF291/00 reference is sterilising-cycle input, not average room heat. Obtain water per cycle, heat-up/hold/drying durations, cycles/hour, steam capture/release and hot residual water disposition. Determine both sensible and latent room emissions, including post-cycle lid opening. Avoid adding latent evaporation heat on top of the full electrical input. D/E remain blocked.</t>
        </is>
      </c>
      <c r="AE170" s="97" t="str">
        <v>EQ-0165</v>
      </c>
      <c r="AF170" s="98" t="str">
        <v>bottle steriliser</v>
      </c>
      <c r="AG170" s="98" t="str">
        <v>REFERENCE_ONLY</v>
      </c>
      <c r="AH170" s="98" t="str">
        <v>Do not auto-use reference wattage. Resolve the missing heat data or document a project estimate.</v>
      </c>
    </row>
    <row r="171">
      <c r="A171" s="1" t="s">
        <v>894</v>
      </c>
      <c r="B171" s="1" t="s">
        <v>1056</v>
      </c>
      <c r="C171" s="13" t="s">
        <v>35</v>
      </c>
      <c r="D171" s="14">
        <v>300.0</v>
      </c>
      <c r="E171" s="14">
        <v>0.0</v>
      </c>
      <c r="F171" s="13" t="s">
        <v>1057</v>
      </c>
      <c r="G171" s="18">
        <v>300.0</v>
      </c>
      <c r="H171" s="19">
        <f t="shared" ref="H171:H180" si="8">G171/1000</f>
        <v>0.3</v>
      </c>
      <c r="I171" s="1" t="s">
        <v>1058</v>
      </c>
      <c r="J171" s="1" t="s">
        <v>1059</v>
      </c>
      <c r="K171" s="1" t="s">
        <v>1060</v>
      </c>
      <c r="L171" s="11" t="s">
        <v>1061</v>
      </c>
      <c r="M171" s="1" t="s">
        <v>459</v>
      </c>
      <c r="N171" s="1" t="s">
        <v>42</v>
      </c>
      <c r="O171" s="1">
        <v>300.0</v>
      </c>
      <c r="P171" s="1">
        <v>300.0</v>
      </c>
      <c r="Q171" s="1">
        <v>0.0</v>
      </c>
      <c r="R171" s="1" t="s">
        <v>901</v>
      </c>
      <c r="S171" s="1" t="s">
        <v>1062</v>
      </c>
      <c r="T171" s="1" t="s">
        <v>1058</v>
      </c>
      <c r="U171" s="1" t="s">
        <v>461</v>
      </c>
      <c r="V171" s="1" t="s">
        <v>46</v>
      </c>
      <c r="W171" s="1" t="s">
        <v>47</v>
      </c>
      <c r="X171" s="1" t="s">
        <v>48</v>
      </c>
      <c r="Y171" s="1" t="s">
        <v>49</v>
      </c>
      <c r="Z171" s="1" t="s">
        <v>50</v>
      </c>
      <c r="AA171" s="12">
        <v>300.0</v>
      </c>
      <c r="AB171" s="12">
        <f t="shared" si="2"/>
        <v>0.3</v>
      </c>
      <c r="AC171" s="13" t="s">
        <v>51</v>
      </c>
      <c r="AD171" s="13" t="s">
        <v>1057</v>
      </c>
      <c r="AE171" s="97" t="str">
        <v>EQ-0166</v>
      </c>
      <c r="AF171" s="98" t="str">
        <v>food processor / blender</v>
      </c>
      <c r="AG171" s="98" t="str">
        <v>CONDITIONAL_MATCH</v>
      </c>
      <c r="AH171" s="98" t="str">
        <v>Match model or supported analogue, operating state, room allocation and all conditions in F. Use D/E only.</v>
      </c>
    </row>
    <row r="172">
      <c r="A172" s="1" t="s">
        <v>894</v>
      </c>
      <c r="B172" s="1" t="s">
        <v>1063</v>
      </c>
      <c r="C172" s="13" t="s">
        <v>921</v>
      </c>
      <c r="D172" s="14">
        <v>352.0</v>
      </c>
      <c r="E172" s="14">
        <v>0.0</v>
      </c>
      <c r="F172" s="13" t="s">
        <v>1064</v>
      </c>
      <c r="G172" s="18">
        <v>352.0</v>
      </c>
      <c r="H172" s="19">
        <f t="shared" si="8"/>
        <v>0.352</v>
      </c>
      <c r="I172" s="1" t="s">
        <v>1065</v>
      </c>
      <c r="J172" s="1" t="s">
        <v>705</v>
      </c>
      <c r="K172" s="1" t="s">
        <v>1066</v>
      </c>
      <c r="L172" s="11" t="s">
        <v>58</v>
      </c>
      <c r="M172" s="1" t="s">
        <v>459</v>
      </c>
      <c r="N172" s="1" t="s">
        <v>42</v>
      </c>
      <c r="O172" s="1" t="s">
        <v>606</v>
      </c>
      <c r="P172" s="1">
        <v>352.0</v>
      </c>
      <c r="Q172" s="1">
        <v>0.0</v>
      </c>
      <c r="R172" s="1" t="s">
        <v>901</v>
      </c>
      <c r="S172" s="1" t="s">
        <v>1067</v>
      </c>
      <c r="T172" s="1" t="s">
        <v>1065</v>
      </c>
      <c r="U172" s="1" t="s">
        <v>608</v>
      </c>
      <c r="V172" s="1" t="s">
        <v>46</v>
      </c>
      <c r="W172" s="1" t="s">
        <v>47</v>
      </c>
      <c r="X172" s="1" t="s">
        <v>903</v>
      </c>
      <c r="Y172" s="1" t="s">
        <v>904</v>
      </c>
      <c r="Z172" s="1" t="s">
        <v>50</v>
      </c>
      <c r="AA172" s="12">
        <v>352.0</v>
      </c>
      <c r="AB172" s="12">
        <f t="shared" si="2"/>
        <v>0.352</v>
      </c>
      <c r="AC172" s="13" t="s">
        <v>51</v>
      </c>
      <c r="AD172" s="13" t="s">
        <v>1064</v>
      </c>
      <c r="AE172" s="97" t="str">
        <v>EQ-0167</v>
      </c>
      <c r="AF172" s="98" t="str">
        <v>commercial food warmer</v>
      </c>
      <c r="AG172" s="98" t="str">
        <v>CONDITIONAL_MATCH</v>
      </c>
      <c r="AH172" s="98" t="str">
        <v>Match model or supported analogue, operating state, room allocation and all conditions in F. Use D/E only.</v>
      </c>
    </row>
    <row r="173">
      <c r="A173" s="1" t="s">
        <v>894</v>
      </c>
      <c r="B173" s="1" t="s">
        <v>1068</v>
      </c>
      <c r="C173" s="13" t="s">
        <v>921</v>
      </c>
      <c r="D173" s="14">
        <v>733.0</v>
      </c>
      <c r="E173" s="14">
        <v>0.0</v>
      </c>
      <c r="F173" s="13" t="s">
        <v>1069</v>
      </c>
      <c r="G173" s="18">
        <v>733.0</v>
      </c>
      <c r="H173" s="19">
        <f t="shared" si="8"/>
        <v>0.733</v>
      </c>
      <c r="I173" s="1" t="s">
        <v>1070</v>
      </c>
      <c r="J173" s="1" t="s">
        <v>705</v>
      </c>
      <c r="K173" s="1" t="s">
        <v>1071</v>
      </c>
      <c r="L173" s="11" t="s">
        <v>58</v>
      </c>
      <c r="M173" s="1" t="s">
        <v>459</v>
      </c>
      <c r="N173" s="1" t="s">
        <v>42</v>
      </c>
      <c r="O173" s="1" t="s">
        <v>606</v>
      </c>
      <c r="P173" s="1">
        <v>733.0</v>
      </c>
      <c r="Q173" s="1">
        <v>0.0</v>
      </c>
      <c r="R173" s="1" t="s">
        <v>901</v>
      </c>
      <c r="S173" s="1" t="s">
        <v>1072</v>
      </c>
      <c r="T173" s="1" t="s">
        <v>1070</v>
      </c>
      <c r="U173" s="1" t="s">
        <v>608</v>
      </c>
      <c r="V173" s="1" t="s">
        <v>46</v>
      </c>
      <c r="W173" s="1" t="s">
        <v>47</v>
      </c>
      <c r="X173" s="1" t="s">
        <v>903</v>
      </c>
      <c r="Y173" s="1" t="s">
        <v>904</v>
      </c>
      <c r="Z173" s="1" t="s">
        <v>50</v>
      </c>
      <c r="AA173" s="12">
        <v>733.0</v>
      </c>
      <c r="AB173" s="12">
        <f t="shared" si="2"/>
        <v>0.733</v>
      </c>
      <c r="AC173" s="13" t="s">
        <v>51</v>
      </c>
      <c r="AD173" s="13" t="s">
        <v>1069</v>
      </c>
      <c r="AE173" s="97" t="str">
        <v>EQ-0168</v>
      </c>
      <c r="AF173" s="98" t="str">
        <v>heated display cabinet</v>
      </c>
      <c r="AG173" s="98" t="str">
        <v>CONDITIONAL_MATCH</v>
      </c>
      <c r="AH173" s="98" t="str">
        <v>Match model or supported analogue, operating state, room allocation and all conditions in F. Use D/E only.</v>
      </c>
    </row>
    <row r="174">
      <c r="A174" s="1" t="s">
        <v>894</v>
      </c>
      <c r="B174" s="1" t="s">
        <v>1073</v>
      </c>
      <c r="C174" s="13" t="s">
        <v>53</v>
      </c>
      <c r="D174" s="14">
        <v>694.0</v>
      </c>
      <c r="E174" s="14">
        <v>1629.0</v>
      </c>
      <c r="F174" s="13" t="s">
        <v>1074</v>
      </c>
      <c r="G174" s="18">
        <v>2323.0</v>
      </c>
      <c r="H174" s="19">
        <f t="shared" si="8"/>
        <v>2.323</v>
      </c>
      <c r="I174" s="1" t="s">
        <v>947</v>
      </c>
      <c r="J174" s="1" t="s">
        <v>705</v>
      </c>
      <c r="K174" s="1" t="s">
        <v>1075</v>
      </c>
      <c r="L174" s="11" t="s">
        <v>58</v>
      </c>
      <c r="M174" s="1" t="s">
        <v>459</v>
      </c>
      <c r="N174" s="1" t="s">
        <v>42</v>
      </c>
      <c r="O174" s="1" t="s">
        <v>606</v>
      </c>
      <c r="P174" s="1">
        <v>694.0</v>
      </c>
      <c r="Q174" s="1">
        <v>1629.0</v>
      </c>
      <c r="R174" s="1" t="s">
        <v>901</v>
      </c>
      <c r="S174" s="1" t="s">
        <v>1076</v>
      </c>
      <c r="T174" s="1" t="s">
        <v>947</v>
      </c>
      <c r="U174" s="1" t="s">
        <v>608</v>
      </c>
      <c r="V174" s="1" t="s">
        <v>46</v>
      </c>
      <c r="W174" s="1" t="s">
        <v>47</v>
      </c>
      <c r="X174" s="1" t="s">
        <v>903</v>
      </c>
      <c r="Y174" s="1" t="s">
        <v>904</v>
      </c>
      <c r="Z174" s="1" t="s">
        <v>50</v>
      </c>
      <c r="AA174" s="12">
        <v>2323.0</v>
      </c>
      <c r="AB174" s="12">
        <f t="shared" si="2"/>
        <v>2.323</v>
      </c>
      <c r="AC174" s="13" t="s">
        <v>51</v>
      </c>
      <c r="AD174" s="13" t="s">
        <v>1074</v>
      </c>
      <c r="AE174" s="97" t="str">
        <v>EQ-0169</v>
      </c>
      <c r="AF174" s="98" t="str">
        <v>commercial deep fryer</v>
      </c>
      <c r="AG174" s="98" t="str">
        <v>CONDITIONAL_MATCH</v>
      </c>
      <c r="AH174" s="98" t="str">
        <v>Match model or supported analogue, operating state, room allocation and all conditions in F. Use D/E only.</v>
      </c>
    </row>
    <row r="175">
      <c r="A175" s="1" t="s">
        <v>894</v>
      </c>
      <c r="B175" s="1" t="s">
        <v>1077</v>
      </c>
      <c r="C175" s="13" t="s">
        <v>53</v>
      </c>
      <c r="D175" s="14">
        <v>1480.0</v>
      </c>
      <c r="E175" s="14">
        <v>1277.0</v>
      </c>
      <c r="F175" s="13" t="s">
        <v>1078</v>
      </c>
      <c r="G175" s="18">
        <v>2757.0</v>
      </c>
      <c r="H175" s="19">
        <f t="shared" si="8"/>
        <v>2.757</v>
      </c>
      <c r="I175" s="1" t="s">
        <v>947</v>
      </c>
      <c r="J175" s="1" t="s">
        <v>705</v>
      </c>
      <c r="K175" s="1" t="s">
        <v>1079</v>
      </c>
      <c r="L175" s="11" t="s">
        <v>58</v>
      </c>
      <c r="M175" s="1" t="s">
        <v>459</v>
      </c>
      <c r="N175" s="1" t="s">
        <v>42</v>
      </c>
      <c r="O175" s="1" t="s">
        <v>606</v>
      </c>
      <c r="P175" s="1">
        <v>1480.0</v>
      </c>
      <c r="Q175" s="1">
        <v>1277.0</v>
      </c>
      <c r="R175" s="1" t="s">
        <v>901</v>
      </c>
      <c r="S175" s="1" t="s">
        <v>1080</v>
      </c>
      <c r="T175" s="1" t="s">
        <v>947</v>
      </c>
      <c r="U175" s="1" t="s">
        <v>608</v>
      </c>
      <c r="V175" s="1" t="s">
        <v>46</v>
      </c>
      <c r="W175" s="1" t="s">
        <v>47</v>
      </c>
      <c r="X175" s="1" t="s">
        <v>48</v>
      </c>
      <c r="Y175" s="1" t="s">
        <v>49</v>
      </c>
      <c r="Z175" s="1" t="s">
        <v>50</v>
      </c>
      <c r="AA175" s="12">
        <v>2757.0</v>
      </c>
      <c r="AB175" s="12">
        <f t="shared" si="2"/>
        <v>2.757</v>
      </c>
      <c r="AC175" s="13" t="s">
        <v>51</v>
      </c>
      <c r="AD175" s="13" t="s">
        <v>1078</v>
      </c>
      <c r="AE175" s="97" t="str">
        <v>EQ-0170</v>
      </c>
      <c r="AF175" s="98" t="str">
        <v>commercial griddle / hotplate</v>
      </c>
      <c r="AG175" s="98" t="str">
        <v>CONDITIONAL_MATCH</v>
      </c>
      <c r="AH175" s="98" t="str">
        <v>Match model or supported analogue, operating state, room allocation and all conditions in F. Use D/E only.</v>
      </c>
    </row>
    <row r="176">
      <c r="A176" s="1" t="s">
        <v>1081</v>
      </c>
      <c r="B176" s="1" t="s">
        <v>1082</v>
      </c>
      <c r="C176" s="13" t="s">
        <v>87</v>
      </c>
      <c r="D176" s="14">
        <v>1.75</v>
      </c>
      <c r="E176" s="14">
        <v>0.0</v>
      </c>
      <c r="F176" s="13" t="s">
        <v>1083</v>
      </c>
      <c r="G176" s="18">
        <v>1.75</v>
      </c>
      <c r="H176" s="19">
        <f t="shared" si="8"/>
        <v>0.00175</v>
      </c>
      <c r="I176" s="1" t="s">
        <v>1084</v>
      </c>
      <c r="J176" s="1" t="s">
        <v>1085</v>
      </c>
      <c r="K176" s="1" t="s">
        <v>1086</v>
      </c>
      <c r="L176" s="11" t="s">
        <v>1087</v>
      </c>
      <c r="M176" s="1" t="s">
        <v>524</v>
      </c>
      <c r="N176" s="1" t="s">
        <v>42</v>
      </c>
      <c r="O176" s="1">
        <v>1.75</v>
      </c>
      <c r="P176" s="1">
        <v>1.75</v>
      </c>
      <c r="Q176" s="1">
        <v>0.0</v>
      </c>
      <c r="R176" s="1" t="s">
        <v>1088</v>
      </c>
      <c r="S176" s="1" t="s">
        <v>1089</v>
      </c>
      <c r="T176" s="1" t="s">
        <v>1084</v>
      </c>
      <c r="U176" s="1" t="s">
        <v>559</v>
      </c>
      <c r="V176" s="1" t="s">
        <v>46</v>
      </c>
      <c r="W176" s="1" t="s">
        <v>47</v>
      </c>
      <c r="X176" s="1" t="s">
        <v>48</v>
      </c>
      <c r="Y176" s="1" t="s">
        <v>49</v>
      </c>
      <c r="Z176" s="1" t="s">
        <v>50</v>
      </c>
      <c r="AA176" s="12">
        <v>1.75</v>
      </c>
      <c r="AB176" s="12">
        <f t="shared" si="2"/>
        <v>0.00175</v>
      </c>
      <c r="AC176" s="13" t="s">
        <v>51</v>
      </c>
      <c r="AD176" s="13" t="s">
        <v>1083</v>
      </c>
      <c r="AE176" s="97" t="str">
        <v>EQ-0171</v>
      </c>
      <c r="AF176" s="98" t="str">
        <v>document camera</v>
      </c>
      <c r="AG176" s="98" t="str">
        <v>CONDITIONAL_MATCH</v>
      </c>
      <c r="AH176" s="98" t="str">
        <v>Match model or supported analogue, operating state, room allocation and all conditions in F. Use D/E only.</v>
      </c>
    </row>
    <row r="177">
      <c r="A177" s="1" t="s">
        <v>1081</v>
      </c>
      <c r="B177" s="1" t="s">
        <v>1090</v>
      </c>
      <c r="C177" s="13" t="s">
        <v>87</v>
      </c>
      <c r="D177" s="14">
        <v>260.0</v>
      </c>
      <c r="E177" s="14">
        <v>0.0</v>
      </c>
      <c r="F177" s="13" t="s">
        <v>1091</v>
      </c>
      <c r="G177" s="18">
        <v>260.0</v>
      </c>
      <c r="H177" s="19">
        <f t="shared" si="8"/>
        <v>0.26</v>
      </c>
      <c r="I177" s="1" t="s">
        <v>1092</v>
      </c>
      <c r="J177" s="1" t="s">
        <v>768</v>
      </c>
      <c r="K177" s="1" t="s">
        <v>1093</v>
      </c>
      <c r="L177" s="11" t="s">
        <v>1094</v>
      </c>
      <c r="M177" s="1" t="s">
        <v>524</v>
      </c>
      <c r="N177" s="1" t="s">
        <v>42</v>
      </c>
      <c r="O177" s="1">
        <v>260.0</v>
      </c>
      <c r="P177" s="1">
        <v>260.0</v>
      </c>
      <c r="Q177" s="1">
        <v>0.0</v>
      </c>
      <c r="R177" s="1" t="s">
        <v>1088</v>
      </c>
      <c r="S177" s="1" t="s">
        <v>1095</v>
      </c>
      <c r="T177" s="1" t="s">
        <v>1092</v>
      </c>
      <c r="U177" s="1" t="s">
        <v>559</v>
      </c>
      <c r="V177" s="1" t="s">
        <v>46</v>
      </c>
      <c r="W177" s="1" t="s">
        <v>47</v>
      </c>
      <c r="X177" s="1" t="s">
        <v>48</v>
      </c>
      <c r="Y177" s="1" t="s">
        <v>49</v>
      </c>
      <c r="Z177" s="1" t="s">
        <v>50</v>
      </c>
      <c r="AA177" s="12">
        <v>260.0</v>
      </c>
      <c r="AB177" s="12">
        <f t="shared" si="2"/>
        <v>0.26</v>
      </c>
      <c r="AC177" s="13" t="s">
        <v>51</v>
      </c>
      <c r="AD177" s="13" t="s">
        <v>1091</v>
      </c>
      <c r="AE177" s="97" t="str">
        <v>EQ-0172</v>
      </c>
      <c r="AF177" s="98" t="str">
        <v>classroom projector - laser</v>
      </c>
      <c r="AG177" s="98" t="str">
        <v>CONDITIONAL_MATCH</v>
      </c>
      <c r="AH177" s="98" t="str">
        <v>Match model or supported analogue, operating state, room allocation and all conditions in F. Use D/E only.</v>
      </c>
    </row>
    <row r="178">
      <c r="A178" s="1" t="s">
        <v>1081</v>
      </c>
      <c r="B178" s="1" t="s">
        <v>1096</v>
      </c>
      <c r="C178" s="13" t="s">
        <v>87</v>
      </c>
      <c r="D178" s="14">
        <v>113.7</v>
      </c>
      <c r="E178" s="14">
        <v>0.0</v>
      </c>
      <c r="F178" s="13" t="s">
        <v>553</v>
      </c>
      <c r="G178" s="18">
        <v>113.7</v>
      </c>
      <c r="H178" s="19">
        <f t="shared" si="8"/>
        <v>0.1137</v>
      </c>
      <c r="I178" s="1" t="s">
        <v>554</v>
      </c>
      <c r="J178" s="1" t="s">
        <v>555</v>
      </c>
      <c r="K178" s="1" t="s">
        <v>556</v>
      </c>
      <c r="L178" s="11" t="s">
        <v>557</v>
      </c>
      <c r="M178" s="1" t="s">
        <v>524</v>
      </c>
      <c r="N178" s="1" t="s">
        <v>42</v>
      </c>
      <c r="O178" s="1">
        <v>113.7</v>
      </c>
      <c r="P178" s="1">
        <v>113.7</v>
      </c>
      <c r="Q178" s="1">
        <v>0.0</v>
      </c>
      <c r="R178" s="1" t="s">
        <v>1088</v>
      </c>
      <c r="S178" s="1" t="s">
        <v>558</v>
      </c>
      <c r="T178" s="1" t="s">
        <v>554</v>
      </c>
      <c r="U178" s="1" t="s">
        <v>559</v>
      </c>
      <c r="V178" s="1" t="s">
        <v>46</v>
      </c>
      <c r="W178" s="1" t="s">
        <v>47</v>
      </c>
      <c r="X178" s="1" t="s">
        <v>48</v>
      </c>
      <c r="Y178" s="1" t="s">
        <v>49</v>
      </c>
      <c r="Z178" s="1" t="s">
        <v>50</v>
      </c>
      <c r="AA178" s="12">
        <v>113.7</v>
      </c>
      <c r="AB178" s="12">
        <f t="shared" si="2"/>
        <v>0.1137</v>
      </c>
      <c r="AC178" s="13" t="s">
        <v>51</v>
      </c>
      <c r="AD178" s="13" t="s">
        <v>553</v>
      </c>
      <c r="AE178" s="97" t="str">
        <v>EQ-0173</v>
      </c>
      <c r="AF178" s="98" t="str">
        <v>interactive classroom display</v>
      </c>
      <c r="AG178" s="98" t="str">
        <v>CONDITIONAL_MATCH</v>
      </c>
      <c r="AH178" s="98" t="str">
        <v>Match model or supported analogue, operating state, room allocation and all conditions in F. Use D/E only.</v>
      </c>
    </row>
    <row r="179">
      <c r="A179" s="1" t="s">
        <v>1081</v>
      </c>
      <c r="B179" s="1" t="s">
        <v>1097</v>
      </c>
      <c r="C179" s="7" t="s">
        <v>1098</v>
      </c>
      <c r="D179" s="8">
        <v>7.8</v>
      </c>
      <c r="E179" s="8">
        <v>0.0</v>
      </c>
      <c r="F179" s="7" t="s">
        <v>1099</v>
      </c>
      <c r="G179" s="18">
        <v>7.8</v>
      </c>
      <c r="H179" s="19">
        <f t="shared" si="8"/>
        <v>0.0078</v>
      </c>
      <c r="I179" s="1" t="s">
        <v>1100</v>
      </c>
      <c r="J179" s="1" t="s">
        <v>1099</v>
      </c>
      <c r="K179" s="1" t="s">
        <v>1101</v>
      </c>
      <c r="L179" s="11" t="s">
        <v>501</v>
      </c>
      <c r="M179" s="1" t="s">
        <v>1102</v>
      </c>
      <c r="N179" s="1" t="s">
        <v>42</v>
      </c>
      <c r="O179" s="1">
        <v>7.8</v>
      </c>
      <c r="P179" s="1">
        <v>7.8</v>
      </c>
      <c r="Q179" s="1">
        <v>0.0</v>
      </c>
      <c r="R179" s="1" t="s">
        <v>1088</v>
      </c>
      <c r="S179" s="1" t="s">
        <v>1103</v>
      </c>
      <c r="T179" s="1" t="s">
        <v>1100</v>
      </c>
      <c r="U179" s="1" t="s">
        <v>1104</v>
      </c>
      <c r="V179" s="1" t="s">
        <v>46</v>
      </c>
      <c r="W179" s="1" t="s">
        <v>47</v>
      </c>
      <c r="X179" s="1" t="s">
        <v>398</v>
      </c>
      <c r="Y179" s="1" t="s">
        <v>399</v>
      </c>
      <c r="Z179" s="1" t="s">
        <v>50</v>
      </c>
      <c r="AA179" s="12">
        <v>7.8</v>
      </c>
      <c r="AB179" s="12">
        <f t="shared" si="2"/>
        <v>0.0078</v>
      </c>
      <c r="AC179" s="13" t="s">
        <v>51</v>
      </c>
      <c r="AD179" s="13" t="s">
        <v>1099</v>
      </c>
      <c r="AE179" s="97" t="str">
        <v>EQ-0174</v>
      </c>
      <c r="AF179" s="98" t="str">
        <v>laptop charging trolley</v>
      </c>
      <c r="AG179" s="98" t="str">
        <v>CONDITIONAL_MATCH</v>
      </c>
      <c r="AH179" s="98" t="str">
        <v>Match model or supported analogue, operating state, room allocation and all conditions in F. Use D/E only.</v>
      </c>
    </row>
    <row r="180">
      <c r="A180" s="1" t="s">
        <v>1081</v>
      </c>
      <c r="B180" s="1" t="s">
        <v>1105</v>
      </c>
      <c r="C180" s="13" t="s">
        <v>87</v>
      </c>
      <c r="D180" s="14">
        <v>80.0</v>
      </c>
      <c r="E180" s="14">
        <v>0.0</v>
      </c>
      <c r="F180" s="13" t="s">
        <v>1106</v>
      </c>
      <c r="G180" s="18">
        <v>80.0</v>
      </c>
      <c r="H180" s="19">
        <f t="shared" si="8"/>
        <v>0.08</v>
      </c>
      <c r="I180" s="1" t="s">
        <v>1107</v>
      </c>
      <c r="J180" s="1" t="s">
        <v>1108</v>
      </c>
      <c r="K180" s="1" t="s">
        <v>1109</v>
      </c>
      <c r="L180" s="11" t="s">
        <v>1110</v>
      </c>
      <c r="M180" s="1" t="s">
        <v>524</v>
      </c>
      <c r="N180" s="1" t="s">
        <v>42</v>
      </c>
      <c r="O180" s="1">
        <v>80.0</v>
      </c>
      <c r="P180" s="1">
        <v>80.0</v>
      </c>
      <c r="Q180" s="1">
        <v>0.0</v>
      </c>
      <c r="R180" s="1" t="s">
        <v>1088</v>
      </c>
      <c r="S180" s="1" t="s">
        <v>1111</v>
      </c>
      <c r="T180" s="1" t="s">
        <v>1107</v>
      </c>
      <c r="U180" s="1" t="s">
        <v>526</v>
      </c>
      <c r="V180" s="1" t="s">
        <v>46</v>
      </c>
      <c r="W180" s="1" t="s">
        <v>47</v>
      </c>
      <c r="X180" s="1" t="s">
        <v>48</v>
      </c>
      <c r="Y180" s="1" t="s">
        <v>49</v>
      </c>
      <c r="Z180" s="1" t="s">
        <v>50</v>
      </c>
      <c r="AA180" s="12">
        <v>80.0</v>
      </c>
      <c r="AB180" s="12">
        <f t="shared" si="2"/>
        <v>0.08</v>
      </c>
      <c r="AC180" s="13" t="s">
        <v>51</v>
      </c>
      <c r="AD180" s="13" t="s">
        <v>1106</v>
      </c>
      <c r="AE180" s="97" t="str">
        <v>EQ-0175</v>
      </c>
      <c r="AF180" s="98" t="str">
        <v>3d printer - desktop</v>
      </c>
      <c r="AG180" s="98" t="str">
        <v>CONDITIONAL_MATCH</v>
      </c>
      <c r="AH180" s="98" t="str">
        <v>Match model or supported analogue, operating state, room allocation and all conditions in F. Use D/E only.</v>
      </c>
    </row>
    <row r="181">
      <c r="A181" s="1" t="s">
        <v>1081</v>
      </c>
      <c r="B181" s="1" t="s">
        <v>1112</v>
      </c>
      <c r="C181" s="7" t="s">
        <v>87</v>
      </c>
      <c r="D181" s="8">
        <v>762.0</v>
      </c>
      <c r="E181" s="8">
        <v>0.0</v>
      </c>
      <c r="F181" s="7" t="s">
        <v>1113</v>
      </c>
      <c r="G181" s="18" t="s">
        <v>616</v>
      </c>
      <c r="H181" s="19" t="s">
        <v>616</v>
      </c>
      <c r="I181" s="1" t="s">
        <v>1114</v>
      </c>
      <c r="J181" s="1" t="s">
        <v>1115</v>
      </c>
      <c r="K181" s="1" t="s">
        <v>1116</v>
      </c>
      <c r="L181" s="11" t="s">
        <v>1117</v>
      </c>
      <c r="M181" s="1" t="s">
        <v>41</v>
      </c>
      <c r="N181" s="1" t="s">
        <v>42</v>
      </c>
      <c r="O181" s="1">
        <v>750.0</v>
      </c>
      <c r="P181" s="1">
        <v>762.0</v>
      </c>
      <c r="Q181" s="1">
        <v>0.0</v>
      </c>
      <c r="R181" s="1" t="s">
        <v>1088</v>
      </c>
      <c r="S181" s="1" t="s">
        <v>1118</v>
      </c>
      <c r="T181" s="1" t="s">
        <v>1114</v>
      </c>
      <c r="U181" s="1" t="s">
        <v>45</v>
      </c>
      <c r="V181" s="1" t="s">
        <v>46</v>
      </c>
      <c r="W181" s="1" t="s">
        <v>47</v>
      </c>
      <c r="X181" s="1" t="s">
        <v>48</v>
      </c>
      <c r="Y181" s="1" t="s">
        <v>49</v>
      </c>
      <c r="Z181" s="1" t="s">
        <v>50</v>
      </c>
      <c r="AA181" s="12">
        <v>762.0</v>
      </c>
      <c r="AB181" s="12">
        <f t="shared" si="2"/>
        <v>0.762</v>
      </c>
      <c r="AC181" s="13" t="s">
        <v>51</v>
      </c>
      <c r="AD181" s="13" t="s">
        <v>1113</v>
      </c>
      <c r="AE181" s="97" t="str">
        <v>EQ-0176</v>
      </c>
      <c r="AF181" s="98" t="str">
        <v>3d printer - industrial</v>
      </c>
      <c r="AG181" s="98" t="str">
        <v>CONDITIONAL_MATCH</v>
      </c>
      <c r="AH181" s="98" t="str">
        <v>Match model or supported analogue, operating state, room allocation and all conditions in F. Use D/E only.</v>
      </c>
    </row>
    <row r="182">
      <c r="A182" s="1" t="s">
        <v>1081</v>
      </c>
      <c r="B182" s="1" t="s">
        <v>1119</v>
      </c>
      <c r="C182" s="13" t="s">
        <v>479</v>
      </c>
      <c r="D182" s="14" t="s">
        <v>67</v>
      </c>
      <c r="E182" s="14" t="s">
        <v>67</v>
      </c>
      <c r="F182" s="7" t="inlineStr">
        <is>
          <t>Further research required if this item is used in the project. NUMERIC EXAMPLE: 830 W (0.83 kW); ELECTRICAL INPUT — not established room heat.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t>
        </is>
      </c>
      <c r="G182" s="18" t="s">
        <v>616</v>
      </c>
      <c r="H182" s="19" t="s">
        <v>616</v>
      </c>
      <c r="I182" s="1" t="s">
        <v>1121</v>
      </c>
      <c r="J182" s="1" t="s">
        <v>1122</v>
      </c>
      <c r="K182" s="1" t="s">
        <v>1123</v>
      </c>
      <c r="L182" s="11" t="s">
        <v>1124</v>
      </c>
      <c r="M182" s="1" t="s">
        <v>485</v>
      </c>
      <c r="N182" s="1" t="s">
        <v>42</v>
      </c>
      <c r="O182" s="1">
        <v>830.0</v>
      </c>
      <c r="P182" s="1" t="s">
        <v>486</v>
      </c>
      <c r="Q182" s="1" t="s">
        <v>486</v>
      </c>
      <c r="R182" s="1" t="s">
        <v>1088</v>
      </c>
      <c r="S182" s="1" t="s">
        <v>1125</v>
      </c>
      <c r="T182" s="1" t="s">
        <v>1121</v>
      </c>
      <c r="U182" s="1" t="s">
        <v>1104</v>
      </c>
      <c r="V182" s="1" t="s">
        <v>200</v>
      </c>
      <c r="W182" s="1" t="s">
        <v>1122</v>
      </c>
      <c r="X182" s="1" t="s">
        <v>48</v>
      </c>
      <c r="Y182" s="1" t="s">
        <v>49</v>
      </c>
      <c r="Z182" s="1" t="s">
        <v>50</v>
      </c>
      <c r="AA182" s="16">
        <v>830.0</v>
      </c>
      <c r="AB182" s="16">
        <f t="shared" si="2"/>
        <v>0.83</v>
      </c>
      <c r="AC182" s="17" t="s">
        <v>878</v>
      </c>
      <c r="AD182" s="17" t="inlineStr">
        <is>
          <t>Further research required if this item is used in the project. Existing electrical reference for Laser cutter / engraver: 830 W.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 This is not a measured sensible/latent room load. Only a closed energy balance can justify equating it to eventual total heat; external steam, refrigerant, fluid, work, storage and exhaust can change that result. REQUIRED: 830 W is an existing electrical-input reference for the30 W CO2 Speedy100/R, not room heat or optical output. Obtain duty cycle, laser/power-supply losses, cooling system type/location, extract airflow and where cut-material heat goes. Allocate chiller and extractor power to their actual rooms. Exhaust makeup-air load is separate. Do not equate laser output with room heat; D/E remain blocked.</t>
        </is>
      </c>
      <c r="AE182" s="97" t="str">
        <v>EQ-0177</v>
      </c>
      <c r="AF182" s="98" t="str">
        <v>laser cutter / engraver</v>
      </c>
      <c r="AG182" s="98" t="str">
        <v>REFERENCE_ONLY</v>
      </c>
      <c r="AH182" s="98" t="str">
        <v>Do not auto-use reference wattage. Resolve the missing heat data or document a project estimate.</v>
      </c>
    </row>
    <row r="183">
      <c r="A183" s="1" t="s">
        <v>1127</v>
      </c>
      <c r="B183" s="1" t="s">
        <v>1128</v>
      </c>
      <c r="C183" s="13" t="s">
        <v>87</v>
      </c>
      <c r="D183" s="14">
        <v>60.0</v>
      </c>
      <c r="E183" s="14">
        <v>0.0</v>
      </c>
      <c r="F183" s="13" t="s">
        <v>1129</v>
      </c>
      <c r="G183" s="18">
        <v>60.0</v>
      </c>
      <c r="H183" s="19">
        <f t="shared" ref="H183:H188" si="9">G183/1000</f>
        <v>0.06</v>
      </c>
      <c r="I183" s="1" t="s">
        <v>1130</v>
      </c>
      <c r="J183" s="1" t="s">
        <v>1131</v>
      </c>
      <c r="K183" s="1" t="s">
        <v>1132</v>
      </c>
      <c r="L183" s="11" t="s">
        <v>1133</v>
      </c>
      <c r="M183" s="1" t="s">
        <v>459</v>
      </c>
      <c r="N183" s="1" t="s">
        <v>42</v>
      </c>
      <c r="O183" s="1">
        <v>60.0</v>
      </c>
      <c r="P183" s="1">
        <v>60.0</v>
      </c>
      <c r="Q183" s="1">
        <v>0.0</v>
      </c>
      <c r="R183" s="1" t="s">
        <v>43</v>
      </c>
      <c r="S183" s="1" t="s">
        <v>1134</v>
      </c>
      <c r="T183" s="1" t="s">
        <v>1130</v>
      </c>
      <c r="U183" s="1" t="s">
        <v>461</v>
      </c>
      <c r="V183" s="1" t="s">
        <v>46</v>
      </c>
      <c r="W183" s="1" t="s">
        <v>47</v>
      </c>
      <c r="X183" s="1" t="s">
        <v>48</v>
      </c>
      <c r="Y183" s="1" t="s">
        <v>49</v>
      </c>
      <c r="Z183" s="1" t="s">
        <v>50</v>
      </c>
      <c r="AA183" s="12">
        <v>60.0</v>
      </c>
      <c r="AB183" s="12">
        <f t="shared" si="2"/>
        <v>0.06</v>
      </c>
      <c r="AC183" s="13" t="s">
        <v>51</v>
      </c>
      <c r="AD183" s="13" t="s">
        <v>1129</v>
      </c>
      <c r="AE183" s="97" t="str">
        <v>EQ-0178</v>
      </c>
      <c r="AF183" s="98" t="str">
        <v>audio amplifier</v>
      </c>
      <c r="AG183" s="98" t="str">
        <v>CONDITIONAL_MATCH</v>
      </c>
      <c r="AH183" s="98" t="str">
        <v>Match model or supported analogue, operating state, room allocation and all conditions in F. Use D/E only.</v>
      </c>
    </row>
    <row r="184">
      <c r="A184" s="1" t="s">
        <v>1127</v>
      </c>
      <c r="B184" s="1" t="s">
        <v>1135</v>
      </c>
      <c r="C184" s="13" t="s">
        <v>87</v>
      </c>
      <c r="D184" s="14">
        <v>60.0</v>
      </c>
      <c r="E184" s="14">
        <v>0.0</v>
      </c>
      <c r="F184" s="13" t="s">
        <v>1136</v>
      </c>
      <c r="G184" s="18">
        <v>60.0</v>
      </c>
      <c r="H184" s="19">
        <f t="shared" si="9"/>
        <v>0.06</v>
      </c>
      <c r="I184" s="1" t="s">
        <v>1137</v>
      </c>
      <c r="J184" s="1" t="s">
        <v>1138</v>
      </c>
      <c r="K184" s="1" t="s">
        <v>1139</v>
      </c>
      <c r="L184" s="11" t="s">
        <v>1140</v>
      </c>
      <c r="M184" s="1" t="s">
        <v>524</v>
      </c>
      <c r="N184" s="1" t="s">
        <v>42</v>
      </c>
      <c r="O184" s="1">
        <v>60.0</v>
      </c>
      <c r="P184" s="1">
        <v>60.0</v>
      </c>
      <c r="Q184" s="1">
        <v>0.0</v>
      </c>
      <c r="R184" s="1" t="s">
        <v>43</v>
      </c>
      <c r="S184" s="1" t="s">
        <v>1141</v>
      </c>
      <c r="T184" s="1" t="s">
        <v>1137</v>
      </c>
      <c r="U184" s="1" t="s">
        <v>526</v>
      </c>
      <c r="V184" s="1" t="s">
        <v>46</v>
      </c>
      <c r="W184" s="1" t="s">
        <v>47</v>
      </c>
      <c r="X184" s="1" t="s">
        <v>48</v>
      </c>
      <c r="Y184" s="1" t="s">
        <v>49</v>
      </c>
      <c r="Z184" s="1" t="s">
        <v>50</v>
      </c>
      <c r="AA184" s="12">
        <v>60.0</v>
      </c>
      <c r="AB184" s="12">
        <f t="shared" si="2"/>
        <v>0.06</v>
      </c>
      <c r="AC184" s="13" t="s">
        <v>51</v>
      </c>
      <c r="AD184" s="13" t="s">
        <v>1136</v>
      </c>
      <c r="AE184" s="97" t="str">
        <v>EQ-0179</v>
      </c>
      <c r="AF184" s="98" t="str">
        <v>powered loudspeaker</v>
      </c>
      <c r="AG184" s="98" t="str">
        <v>CONDITIONAL_MATCH</v>
      </c>
      <c r="AH184" s="98" t="str">
        <v>Match model or supported analogue, operating state, room allocation and all conditions in F. Use D/E only.</v>
      </c>
    </row>
    <row r="185">
      <c r="A185" s="1" t="s">
        <v>1127</v>
      </c>
      <c r="B185" s="1" t="s">
        <v>1142</v>
      </c>
      <c r="C185" s="13" t="s">
        <v>87</v>
      </c>
      <c r="D185" s="14">
        <v>70.0</v>
      </c>
      <c r="E185" s="14">
        <v>0.0</v>
      </c>
      <c r="F185" s="13" t="s">
        <v>1143</v>
      </c>
      <c r="G185" s="18">
        <v>70.0</v>
      </c>
      <c r="H185" s="19">
        <f t="shared" si="9"/>
        <v>0.07</v>
      </c>
      <c r="I185" s="1" t="s">
        <v>1137</v>
      </c>
      <c r="J185" s="1" t="s">
        <v>1144</v>
      </c>
      <c r="K185" s="1" t="s">
        <v>1145</v>
      </c>
      <c r="L185" s="11" t="s">
        <v>1140</v>
      </c>
      <c r="M185" s="1" t="s">
        <v>524</v>
      </c>
      <c r="N185" s="1" t="s">
        <v>42</v>
      </c>
      <c r="O185" s="1">
        <v>70.0</v>
      </c>
      <c r="P185" s="1">
        <v>70.0</v>
      </c>
      <c r="Q185" s="1">
        <v>0.0</v>
      </c>
      <c r="R185" s="1" t="s">
        <v>43</v>
      </c>
      <c r="S185" s="1" t="s">
        <v>1146</v>
      </c>
      <c r="T185" s="1" t="s">
        <v>1137</v>
      </c>
      <c r="U185" s="1" t="s">
        <v>526</v>
      </c>
      <c r="V185" s="1" t="s">
        <v>46</v>
      </c>
      <c r="W185" s="1" t="s">
        <v>47</v>
      </c>
      <c r="X185" s="1" t="s">
        <v>48</v>
      </c>
      <c r="Y185" s="1" t="s">
        <v>49</v>
      </c>
      <c r="Z185" s="1" t="s">
        <v>50</v>
      </c>
      <c r="AA185" s="12">
        <v>70.0</v>
      </c>
      <c r="AB185" s="12">
        <f t="shared" si="2"/>
        <v>0.07</v>
      </c>
      <c r="AC185" s="13" t="s">
        <v>51</v>
      </c>
      <c r="AD185" s="13" t="s">
        <v>1143</v>
      </c>
      <c r="AE185" s="97" t="str">
        <v>EQ-0180</v>
      </c>
      <c r="AF185" s="98" t="str">
        <v>subwoofer</v>
      </c>
      <c r="AG185" s="98" t="str">
        <v>CONDITIONAL_MATCH</v>
      </c>
      <c r="AH185" s="98" t="str">
        <v>Match model or supported analogue, operating state, room allocation and all conditions in F. Use D/E only.</v>
      </c>
    </row>
    <row r="186">
      <c r="A186" s="1" t="s">
        <v>1127</v>
      </c>
      <c r="B186" s="1" t="s">
        <v>1147</v>
      </c>
      <c r="C186" s="13" t="s">
        <v>87</v>
      </c>
      <c r="D186" s="14">
        <v>100.0</v>
      </c>
      <c r="E186" s="14">
        <v>0.0</v>
      </c>
      <c r="F186" s="13" t="s">
        <v>1148</v>
      </c>
      <c r="G186" s="18">
        <v>100.0</v>
      </c>
      <c r="H186" s="19">
        <f t="shared" si="9"/>
        <v>0.1</v>
      </c>
      <c r="I186" s="1" t="s">
        <v>1149</v>
      </c>
      <c r="J186" s="1" t="s">
        <v>1150</v>
      </c>
      <c r="K186" s="1" t="s">
        <v>1151</v>
      </c>
      <c r="L186" s="11" t="s">
        <v>1152</v>
      </c>
      <c r="M186" s="1" t="s">
        <v>524</v>
      </c>
      <c r="N186" s="1" t="s">
        <v>42</v>
      </c>
      <c r="O186" s="1">
        <v>100.0</v>
      </c>
      <c r="P186" s="1">
        <v>100.0</v>
      </c>
      <c r="Q186" s="1">
        <v>0.0</v>
      </c>
      <c r="R186" s="1" t="s">
        <v>43</v>
      </c>
      <c r="S186" s="1" t="s">
        <v>1153</v>
      </c>
      <c r="T186" s="1" t="s">
        <v>1149</v>
      </c>
      <c r="U186" s="1" t="s">
        <v>526</v>
      </c>
      <c r="V186" s="1" t="s">
        <v>46</v>
      </c>
      <c r="W186" s="1" t="s">
        <v>47</v>
      </c>
      <c r="X186" s="1" t="s">
        <v>48</v>
      </c>
      <c r="Y186" s="1" t="s">
        <v>49</v>
      </c>
      <c r="Z186" s="1" t="s">
        <v>50</v>
      </c>
      <c r="AA186" s="12">
        <v>100.0</v>
      </c>
      <c r="AB186" s="12">
        <f t="shared" si="2"/>
        <v>0.1</v>
      </c>
      <c r="AC186" s="13" t="s">
        <v>51</v>
      </c>
      <c r="AD186" s="13" t="s">
        <v>1148</v>
      </c>
      <c r="AE186" s="97" t="str">
        <v>EQ-0181</v>
      </c>
      <c r="AF186" s="98" t="str">
        <v>digital mixing console</v>
      </c>
      <c r="AG186" s="98" t="str">
        <v>CONDITIONAL_MATCH</v>
      </c>
      <c r="AH186" s="98" t="str">
        <v>Match model or supported analogue, operating state, room allocation and all conditions in F. Use D/E only.</v>
      </c>
    </row>
    <row r="187">
      <c r="A187" s="1" t="s">
        <v>1127</v>
      </c>
      <c r="B187" s="1" t="s">
        <v>1154</v>
      </c>
      <c r="C187" s="13" t="s">
        <v>35</v>
      </c>
      <c r="D187" s="14">
        <v>3.53</v>
      </c>
      <c r="E187" s="14">
        <v>0.0</v>
      </c>
      <c r="F187" s="13" t="s">
        <v>1155</v>
      </c>
      <c r="G187" s="18">
        <v>3.53</v>
      </c>
      <c r="H187" s="19">
        <f t="shared" si="9"/>
        <v>0.00353</v>
      </c>
      <c r="I187" s="1" t="s">
        <v>1156</v>
      </c>
      <c r="J187" s="1" t="s">
        <v>1157</v>
      </c>
      <c r="K187" s="1" t="s">
        <v>1158</v>
      </c>
      <c r="L187" s="11" t="s">
        <v>1159</v>
      </c>
      <c r="M187" s="1" t="s">
        <v>459</v>
      </c>
      <c r="N187" s="1" t="s">
        <v>42</v>
      </c>
      <c r="O187" s="1">
        <v>3.53</v>
      </c>
      <c r="P187" s="1">
        <v>3.53</v>
      </c>
      <c r="Q187" s="1">
        <v>0.0</v>
      </c>
      <c r="R187" s="1" t="s">
        <v>43</v>
      </c>
      <c r="S187" s="1" t="s">
        <v>1160</v>
      </c>
      <c r="T187" s="1" t="s">
        <v>1156</v>
      </c>
      <c r="U187" s="1" t="s">
        <v>461</v>
      </c>
      <c r="V187" s="1" t="s">
        <v>46</v>
      </c>
      <c r="W187" s="1" t="s">
        <v>47</v>
      </c>
      <c r="X187" s="1" t="s">
        <v>48</v>
      </c>
      <c r="Y187" s="1" t="s">
        <v>49</v>
      </c>
      <c r="Z187" s="1" t="s">
        <v>50</v>
      </c>
      <c r="AA187" s="12">
        <v>3.53</v>
      </c>
      <c r="AB187" s="12">
        <f t="shared" si="2"/>
        <v>0.00353</v>
      </c>
      <c r="AC187" s="13" t="s">
        <v>51</v>
      </c>
      <c r="AD187" s="13" t="s">
        <v>1155</v>
      </c>
      <c r="AE187" s="97" t="str">
        <v>EQ-0182</v>
      </c>
      <c r="AF187" s="98" t="str">
        <v>wireless microphone receiver</v>
      </c>
      <c r="AG187" s="98" t="str">
        <v>CONDITIONAL_MATCH</v>
      </c>
      <c r="AH187" s="98" t="str">
        <v>Match model or supported analogue, operating state, room allocation and all conditions in F. Use D/E only.</v>
      </c>
    </row>
    <row r="188">
      <c r="A188" s="1" t="s">
        <v>1127</v>
      </c>
      <c r="B188" s="1" t="s">
        <v>1161</v>
      </c>
      <c r="C188" s="13" t="s">
        <v>87</v>
      </c>
      <c r="D188" s="14">
        <v>30.0</v>
      </c>
      <c r="E188" s="14">
        <v>0.0</v>
      </c>
      <c r="F188" s="13" t="s">
        <v>1162</v>
      </c>
      <c r="G188" s="18">
        <v>30.0</v>
      </c>
      <c r="H188" s="19">
        <f t="shared" si="9"/>
        <v>0.03</v>
      </c>
      <c r="I188" s="1" t="s">
        <v>1163</v>
      </c>
      <c r="J188" s="1" t="s">
        <v>1164</v>
      </c>
      <c r="K188" s="1" t="s">
        <v>1165</v>
      </c>
      <c r="L188" s="11" t="s">
        <v>1166</v>
      </c>
      <c r="M188" s="1" t="s">
        <v>459</v>
      </c>
      <c r="N188" s="1" t="s">
        <v>42</v>
      </c>
      <c r="O188" s="1">
        <v>30.0</v>
      </c>
      <c r="P188" s="1">
        <v>30.0</v>
      </c>
      <c r="Q188" s="1">
        <v>0.0</v>
      </c>
      <c r="R188" s="1" t="s">
        <v>43</v>
      </c>
      <c r="S188" s="1" t="s">
        <v>1167</v>
      </c>
      <c r="T188" s="1" t="s">
        <v>1163</v>
      </c>
      <c r="U188" s="1" t="s">
        <v>461</v>
      </c>
      <c r="V188" s="1" t="s">
        <v>46</v>
      </c>
      <c r="W188" s="1" t="s">
        <v>47</v>
      </c>
      <c r="X188" s="1" t="s">
        <v>174</v>
      </c>
      <c r="Y188" s="1" t="s">
        <v>175</v>
      </c>
      <c r="Z188" s="1" t="s">
        <v>50</v>
      </c>
      <c r="AA188" s="12">
        <v>30.0</v>
      </c>
      <c r="AB188" s="12">
        <f t="shared" si="2"/>
        <v>0.03</v>
      </c>
      <c r="AC188" s="13" t="s">
        <v>51</v>
      </c>
      <c r="AD188" s="13" t="s">
        <v>1162</v>
      </c>
      <c r="AE188" s="97" t="str">
        <v>EQ-0183</v>
      </c>
      <c r="AF188" s="98" t="str">
        <v>video production switcher</v>
      </c>
      <c r="AG188" s="98" t="str">
        <v>CONDITIONAL_MATCH</v>
      </c>
      <c r="AH188" s="98" t="str">
        <v>Match model or supported analogue, operating state, room allocation and all conditions in F. Use D/E only.</v>
      </c>
    </row>
    <row r="189">
      <c r="A189" s="1" t="s">
        <v>1127</v>
      </c>
      <c r="B189" s="1" t="s">
        <v>1168</v>
      </c>
      <c r="C189" s="7" t="s">
        <v>35</v>
      </c>
      <c r="D189" s="8">
        <v>145.0</v>
      </c>
      <c r="E189" s="8">
        <v>0.0</v>
      </c>
      <c r="F189" s="7" t="s">
        <v>1169</v>
      </c>
      <c r="G189" s="18" t="s">
        <v>616</v>
      </c>
      <c r="H189" s="19" t="s">
        <v>616</v>
      </c>
      <c r="I189" s="1" t="s">
        <v>37</v>
      </c>
      <c r="J189" s="1" t="s">
        <v>1170</v>
      </c>
      <c r="K189" s="1" t="s">
        <v>476</v>
      </c>
      <c r="L189" s="11" t="s">
        <v>65</v>
      </c>
      <c r="M189" s="1" t="s">
        <v>41</v>
      </c>
      <c r="N189" s="1" t="s">
        <v>42</v>
      </c>
      <c r="O189" s="1">
        <v>145.0</v>
      </c>
      <c r="P189" s="1">
        <v>145.0</v>
      </c>
      <c r="Q189" s="1">
        <v>0.0</v>
      </c>
      <c r="R189" s="1" t="s">
        <v>43</v>
      </c>
      <c r="S189" s="1" t="s">
        <v>1171</v>
      </c>
      <c r="T189" s="1" t="s">
        <v>37</v>
      </c>
      <c r="U189" s="1" t="s">
        <v>45</v>
      </c>
      <c r="V189" s="1" t="s">
        <v>46</v>
      </c>
      <c r="W189" s="1" t="s">
        <v>47</v>
      </c>
      <c r="X189" s="1" t="s">
        <v>48</v>
      </c>
      <c r="Y189" s="1" t="s">
        <v>49</v>
      </c>
      <c r="Z189" s="1" t="s">
        <v>50</v>
      </c>
      <c r="AA189" s="12">
        <v>145.0</v>
      </c>
      <c r="AB189" s="12">
        <f t="shared" si="2"/>
        <v>0.145</v>
      </c>
      <c r="AC189" s="13" t="s">
        <v>51</v>
      </c>
      <c r="AD189" s="13" t="s">
        <v>1169</v>
      </c>
      <c r="AE189" s="97" t="str">
        <v>EQ-0184</v>
      </c>
      <c r="AF189" s="98" t="str">
        <v>broadcast / streaming workstation</v>
      </c>
      <c r="AG189" s="98" t="str">
        <v>CONDITIONAL_MATCH</v>
      </c>
      <c r="AH189" s="98" t="str">
        <v>Match model or supported analogue, operating state, room allocation and all conditions in F. Use D/E only.</v>
      </c>
    </row>
    <row r="190">
      <c r="A190" s="1" t="s">
        <v>1127</v>
      </c>
      <c r="B190" s="1" t="s">
        <v>1172</v>
      </c>
      <c r="C190" s="13" t="s">
        <v>87</v>
      </c>
      <c r="D190" s="14">
        <v>6.0</v>
      </c>
      <c r="E190" s="14">
        <v>0.0</v>
      </c>
      <c r="F190" s="13" t="s">
        <v>1173</v>
      </c>
      <c r="G190" s="18">
        <v>6.0</v>
      </c>
      <c r="H190" s="19">
        <f t="shared" ref="H190:H197" si="10">G190/1000</f>
        <v>0.006</v>
      </c>
      <c r="I190" s="1" t="s">
        <v>1174</v>
      </c>
      <c r="J190" s="1" t="s">
        <v>1175</v>
      </c>
      <c r="K190" s="1" t="s">
        <v>1176</v>
      </c>
      <c r="L190" s="11" t="s">
        <v>1177</v>
      </c>
      <c r="M190" s="1" t="s">
        <v>459</v>
      </c>
      <c r="N190" s="1" t="s">
        <v>42</v>
      </c>
      <c r="O190" s="1">
        <v>6.0</v>
      </c>
      <c r="P190" s="1">
        <v>6.0</v>
      </c>
      <c r="Q190" s="1">
        <v>0.0</v>
      </c>
      <c r="R190" s="1" t="s">
        <v>43</v>
      </c>
      <c r="S190" s="1" t="s">
        <v>1178</v>
      </c>
      <c r="T190" s="1" t="s">
        <v>1174</v>
      </c>
      <c r="U190" s="1" t="s">
        <v>676</v>
      </c>
      <c r="V190" s="1" t="s">
        <v>46</v>
      </c>
      <c r="W190" s="1" t="s">
        <v>47</v>
      </c>
      <c r="X190" s="1" t="s">
        <v>100</v>
      </c>
      <c r="Y190" s="1" t="s">
        <v>122</v>
      </c>
      <c r="Z190" s="1" t="s">
        <v>50</v>
      </c>
      <c r="AA190" s="12">
        <v>6.0</v>
      </c>
      <c r="AB190" s="12">
        <f t="shared" si="2"/>
        <v>0.006</v>
      </c>
      <c r="AC190" s="13" t="s">
        <v>51</v>
      </c>
      <c r="AD190" s="13" t="s">
        <v>1173</v>
      </c>
      <c r="AE190" s="97" t="str">
        <v>EQ-0185</v>
      </c>
      <c r="AF190" s="98" t="str">
        <v>stage lighting controller</v>
      </c>
      <c r="AG190" s="98" t="str">
        <v>CONDITIONAL_MATCH</v>
      </c>
      <c r="AH190" s="98" t="str">
        <v>Match model or supported analogue, operating state, room allocation and all conditions in F. Use D/E only.</v>
      </c>
    </row>
    <row r="191">
      <c r="A191" s="1" t="s">
        <v>1179</v>
      </c>
      <c r="B191" s="1" t="s">
        <v>1180</v>
      </c>
      <c r="C191" s="13" t="s">
        <v>87</v>
      </c>
      <c r="D191" s="14">
        <v>18.0</v>
      </c>
      <c r="E191" s="14">
        <v>0.0</v>
      </c>
      <c r="F191" s="13" t="s">
        <v>1181</v>
      </c>
      <c r="G191" s="18">
        <v>18.0</v>
      </c>
      <c r="H191" s="19">
        <f t="shared" si="10"/>
        <v>0.018</v>
      </c>
      <c r="I191" s="1" t="s">
        <v>1182</v>
      </c>
      <c r="J191" s="1" t="s">
        <v>1183</v>
      </c>
      <c r="K191" s="1" t="s">
        <v>1184</v>
      </c>
      <c r="L191" s="11" t="s">
        <v>1185</v>
      </c>
      <c r="M191" s="1" t="s">
        <v>524</v>
      </c>
      <c r="N191" s="1" t="s">
        <v>582</v>
      </c>
      <c r="O191" s="1">
        <v>18.0</v>
      </c>
      <c r="P191" s="1">
        <v>18.0</v>
      </c>
      <c r="Q191" s="1">
        <v>0.0</v>
      </c>
      <c r="R191" s="1" t="s">
        <v>1186</v>
      </c>
      <c r="S191" s="1" t="s">
        <v>1187</v>
      </c>
      <c r="T191" s="1" t="s">
        <v>1182</v>
      </c>
      <c r="U191" s="1" t="s">
        <v>559</v>
      </c>
      <c r="V191" s="1" t="s">
        <v>46</v>
      </c>
      <c r="W191" s="1" t="s">
        <v>47</v>
      </c>
      <c r="X191" s="1" t="s">
        <v>48</v>
      </c>
      <c r="Y191" s="1" t="s">
        <v>49</v>
      </c>
      <c r="Z191" s="1" t="s">
        <v>50</v>
      </c>
      <c r="AA191" s="12">
        <v>18.0</v>
      </c>
      <c r="AB191" s="12">
        <f t="shared" si="2"/>
        <v>0.018</v>
      </c>
      <c r="AC191" s="13" t="s">
        <v>51</v>
      </c>
      <c r="AD191" s="13" t="s">
        <v>1181</v>
      </c>
      <c r="AE191" s="97" t="str">
        <v>EQ-0186</v>
      </c>
      <c r="AF191" s="98" t="str">
        <v>video conferencing codec</v>
      </c>
      <c r="AG191" s="98" t="str">
        <v>CONDITIONAL_MATCH</v>
      </c>
      <c r="AH191" s="98" t="str">
        <v>Match model or supported analogue, operating state, room allocation and all conditions in F. Use D/E only.</v>
      </c>
    </row>
    <row r="192">
      <c r="A192" s="1" t="s">
        <v>1179</v>
      </c>
      <c r="B192" s="1" t="s">
        <v>1188</v>
      </c>
      <c r="C192" s="13" t="s">
        <v>87</v>
      </c>
      <c r="D192" s="14">
        <v>6.5</v>
      </c>
      <c r="E192" s="14">
        <v>0.0</v>
      </c>
      <c r="F192" s="13" t="s">
        <v>1189</v>
      </c>
      <c r="G192" s="18">
        <v>6.5</v>
      </c>
      <c r="H192" s="19">
        <f t="shared" si="10"/>
        <v>0.0065</v>
      </c>
      <c r="I192" s="1" t="s">
        <v>1190</v>
      </c>
      <c r="J192" s="1" t="s">
        <v>1191</v>
      </c>
      <c r="K192" s="1" t="s">
        <v>1192</v>
      </c>
      <c r="L192" s="11" t="s">
        <v>1193</v>
      </c>
      <c r="M192" s="1" t="s">
        <v>524</v>
      </c>
      <c r="N192" s="1" t="s">
        <v>582</v>
      </c>
      <c r="O192" s="1">
        <v>6.5</v>
      </c>
      <c r="P192" s="1">
        <v>6.5</v>
      </c>
      <c r="Q192" s="1">
        <v>0.0</v>
      </c>
      <c r="R192" s="1" t="s">
        <v>1186</v>
      </c>
      <c r="S192" s="1" t="s">
        <v>1194</v>
      </c>
      <c r="T192" s="1" t="s">
        <v>1190</v>
      </c>
      <c r="U192" s="1" t="s">
        <v>559</v>
      </c>
      <c r="V192" s="1" t="s">
        <v>46</v>
      </c>
      <c r="W192" s="1" t="s">
        <v>47</v>
      </c>
      <c r="X192" s="1" t="s">
        <v>48</v>
      </c>
      <c r="Y192" s="1" t="s">
        <v>49</v>
      </c>
      <c r="Z192" s="1" t="s">
        <v>50</v>
      </c>
      <c r="AA192" s="12">
        <v>6.5</v>
      </c>
      <c r="AB192" s="12">
        <f t="shared" si="2"/>
        <v>0.0065</v>
      </c>
      <c r="AC192" s="13" t="s">
        <v>51</v>
      </c>
      <c r="AD192" s="13" t="s">
        <v>1189</v>
      </c>
      <c r="AE192" s="97" t="str">
        <v>EQ-0187</v>
      </c>
      <c r="AF192" s="98" t="str">
        <v>room-control processor</v>
      </c>
      <c r="AG192" s="98" t="str">
        <v>CONDITIONAL_MATCH</v>
      </c>
      <c r="AH192" s="98" t="str">
        <v>Match model or supported analogue, operating state, room allocation and all conditions in F. Use D/E only.</v>
      </c>
    </row>
    <row r="193">
      <c r="A193" s="1" t="s">
        <v>1179</v>
      </c>
      <c r="B193" s="1" t="s">
        <v>1195</v>
      </c>
      <c r="C193" s="13" t="s">
        <v>87</v>
      </c>
      <c r="D193" s="14">
        <v>85.0</v>
      </c>
      <c r="E193" s="14">
        <v>0.0</v>
      </c>
      <c r="F193" s="13" t="s">
        <v>1196</v>
      </c>
      <c r="G193" s="18">
        <v>85.0</v>
      </c>
      <c r="H193" s="19">
        <f t="shared" si="10"/>
        <v>0.085</v>
      </c>
      <c r="I193" s="1" t="s">
        <v>1197</v>
      </c>
      <c r="J193" s="1" t="s">
        <v>1198</v>
      </c>
      <c r="K193" s="1" t="s">
        <v>1199</v>
      </c>
      <c r="L193" s="11" t="s">
        <v>1200</v>
      </c>
      <c r="M193" s="1" t="s">
        <v>459</v>
      </c>
      <c r="N193" s="1" t="s">
        <v>582</v>
      </c>
      <c r="O193" s="1">
        <v>85.0</v>
      </c>
      <c r="P193" s="1">
        <v>85.0</v>
      </c>
      <c r="Q193" s="1">
        <v>0.0</v>
      </c>
      <c r="R193" s="1" t="s">
        <v>1186</v>
      </c>
      <c r="S193" s="1" t="s">
        <v>1201</v>
      </c>
      <c r="T193" s="1" t="s">
        <v>1197</v>
      </c>
      <c r="U193" s="1" t="s">
        <v>676</v>
      </c>
      <c r="V193" s="1" t="s">
        <v>46</v>
      </c>
      <c r="W193" s="1" t="s">
        <v>47</v>
      </c>
      <c r="X193" s="1" t="s">
        <v>1202</v>
      </c>
      <c r="Y193" s="1" t="s">
        <v>1203</v>
      </c>
      <c r="Z193" s="1" t="s">
        <v>50</v>
      </c>
      <c r="AA193" s="12">
        <v>85.0</v>
      </c>
      <c r="AB193" s="12">
        <f t="shared" si="2"/>
        <v>0.085</v>
      </c>
      <c r="AC193" s="13" t="s">
        <v>51</v>
      </c>
      <c r="AD193" s="13" t="s">
        <v>1196</v>
      </c>
      <c r="AE193" s="97" t="str">
        <v>EQ-0188</v>
      </c>
      <c r="AF193" s="98" t="str">
        <v>motorised projector screen</v>
      </c>
      <c r="AG193" s="98" t="str">
        <v>CONDITIONAL_MATCH</v>
      </c>
      <c r="AH193" s="98" t="str">
        <v>Match model or supported analogue, operating state, room allocation and all conditions in F. Use D/E only.</v>
      </c>
    </row>
    <row r="194">
      <c r="A194" s="1" t="s">
        <v>1179</v>
      </c>
      <c r="B194" s="1" t="s">
        <v>1204</v>
      </c>
      <c r="C194" s="13" t="s">
        <v>129</v>
      </c>
      <c r="D194" s="14">
        <v>2.2</v>
      </c>
      <c r="E194" s="14">
        <v>0.0</v>
      </c>
      <c r="F194" s="13" t="s">
        <v>1205</v>
      </c>
      <c r="G194" s="18">
        <v>2.2</v>
      </c>
      <c r="H194" s="19">
        <f t="shared" si="10"/>
        <v>0.0022</v>
      </c>
      <c r="I194" s="1" t="s">
        <v>1206</v>
      </c>
      <c r="J194" s="1" t="s">
        <v>1207</v>
      </c>
      <c r="K194" s="1" t="s">
        <v>1208</v>
      </c>
      <c r="L194" s="11" t="s">
        <v>1209</v>
      </c>
      <c r="M194" s="1" t="s">
        <v>459</v>
      </c>
      <c r="N194" s="1" t="s">
        <v>582</v>
      </c>
      <c r="O194" s="1">
        <v>2.2</v>
      </c>
      <c r="P194" s="1">
        <v>2.2</v>
      </c>
      <c r="Q194" s="1">
        <v>0.0</v>
      </c>
      <c r="R194" s="1" t="s">
        <v>1186</v>
      </c>
      <c r="S194" s="1" t="s">
        <v>1210</v>
      </c>
      <c r="T194" s="1" t="s">
        <v>1206</v>
      </c>
      <c r="U194" s="1" t="s">
        <v>676</v>
      </c>
      <c r="V194" s="1" t="s">
        <v>46</v>
      </c>
      <c r="W194" s="1" t="s">
        <v>47</v>
      </c>
      <c r="X194" s="1" t="s">
        <v>48</v>
      </c>
      <c r="Y194" s="1" t="s">
        <v>49</v>
      </c>
      <c r="Z194" s="1" t="s">
        <v>50</v>
      </c>
      <c r="AA194" s="12">
        <v>2.2</v>
      </c>
      <c r="AB194" s="12">
        <f t="shared" si="2"/>
        <v>0.0022</v>
      </c>
      <c r="AC194" s="13" t="s">
        <v>51</v>
      </c>
      <c r="AD194" s="13" t="s">
        <v>1205</v>
      </c>
      <c r="AE194" s="97" t="str">
        <v>EQ-0189</v>
      </c>
      <c r="AF194" s="98" t="str">
        <v>electronic blinds controller</v>
      </c>
      <c r="AG194" s="98" t="str">
        <v>CONDITIONAL_MATCH</v>
      </c>
      <c r="AH194" s="98" t="str">
        <v>Match model or supported analogue, operating state, room allocation and all conditions in F. Use D/E only.</v>
      </c>
    </row>
    <row r="195">
      <c r="A195" s="1" t="s">
        <v>230</v>
      </c>
      <c r="B195" s="1" t="s">
        <v>1211</v>
      </c>
      <c r="C195" s="13" t="s">
        <v>194</v>
      </c>
      <c r="D195" s="14" t="s">
        <v>67</v>
      </c>
      <c r="E195" s="14" t="s">
        <v>67</v>
      </c>
      <c r="F195" s="7" t="inlineStr">
        <is>
          <t>Further research required if this item is used in the project. NUMERIC EXAMPLE: 17.58 W (0.01758 kW); EXISTING REFERENCE — scope/state limits apply.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t>
        </is>
      </c>
      <c r="G195" s="18">
        <v>17.58</v>
      </c>
      <c r="H195" s="19">
        <f t="shared" si="10"/>
        <v>0.01758</v>
      </c>
      <c r="I195" s="1" t="s">
        <v>1213</v>
      </c>
      <c r="J195" s="1" t="s">
        <v>1214</v>
      </c>
      <c r="K195" s="1" t="s">
        <v>1215</v>
      </c>
      <c r="L195" s="11" t="s">
        <v>1216</v>
      </c>
      <c r="M195" s="1" t="s">
        <v>459</v>
      </c>
      <c r="N195" s="1" t="s">
        <v>42</v>
      </c>
      <c r="O195" s="1" t="s">
        <v>606</v>
      </c>
      <c r="P195" s="1" t="s">
        <v>486</v>
      </c>
      <c r="Q195" s="1" t="s">
        <v>486</v>
      </c>
      <c r="R195" s="1" t="s">
        <v>235</v>
      </c>
      <c r="S195" s="1" t="s">
        <v>1217</v>
      </c>
      <c r="T195" s="1" t="s">
        <v>1213</v>
      </c>
      <c r="U195" s="1" t="s">
        <v>1104</v>
      </c>
      <c r="V195" s="1" t="s">
        <v>200</v>
      </c>
      <c r="W195" s="1" t="s">
        <v>1214</v>
      </c>
      <c r="X195" s="1" t="s">
        <v>176</v>
      </c>
      <c r="Y195" s="1" t="s">
        <v>189</v>
      </c>
      <c r="Z195" s="1" t="s">
        <v>50</v>
      </c>
      <c r="AA195" s="16">
        <v>17.58</v>
      </c>
      <c r="AB195" s="16">
        <f t="shared" si="2"/>
        <v>0.01758</v>
      </c>
      <c r="AC195" s="17" t="s">
        <v>201</v>
      </c>
      <c r="AD195" s="17" t="inlineStr">
        <is>
          <t>Further research required if this item is used in the project. Unloaded 5°C cabinet; 20°C ambient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 This retains the original reference, including any unresolved source limitations; it is not newly validated net room heat. REQUIRED: 17.58 W is the existing60 BTU/h heat-rejection reference for TSG205SA, unloaded at5°C with20°C ambient. Manufacturer specifies115 V/60 Hz; do not assume an Australian equivalent. A thermoelectric heat-pump rating is not whole-unit heat. Establish whether the published rejection is gross exchanger heat or net room gain, confirm sample loading and design-hour peak. D/E remain blocked; no invented latent split.</t>
        </is>
      </c>
      <c r="AE195" s="97" t="str">
        <v>EQ-0190</v>
      </c>
      <c r="AF195" s="98" t="str">
        <v>laboratory refrigerator</v>
      </c>
      <c r="AG195" s="98" t="str">
        <v>REFERENCE_ONLY</v>
      </c>
      <c r="AH195" s="98" t="str">
        <v>Do not auto-use reference wattage. Resolve the missing heat data or document a project estimate.</v>
      </c>
    </row>
    <row r="196">
      <c r="A196" s="1" t="s">
        <v>230</v>
      </c>
      <c r="B196" s="1" t="s">
        <v>1219</v>
      </c>
      <c r="C196" s="13" t="s">
        <v>194</v>
      </c>
      <c r="D196" s="14" t="s">
        <v>67</v>
      </c>
      <c r="E196" s="14" t="s">
        <v>67</v>
      </c>
      <c r="F196" s="7" t="inlineStr">
        <is>
          <t>Further research required if this item is used in the project. NUMERIC EXAMPLE: 22.22 W (0.02222 kW); EXISTING REFERENCE — scope/state limits apply.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t>
        </is>
      </c>
      <c r="G196" s="18">
        <v>22.22</v>
      </c>
      <c r="H196" s="19">
        <f t="shared" si="10"/>
        <v>0.02222</v>
      </c>
      <c r="I196" s="1" t="s">
        <v>1221</v>
      </c>
      <c r="J196" s="1" t="s">
        <v>1222</v>
      </c>
      <c r="K196" s="1" t="s">
        <v>1223</v>
      </c>
      <c r="L196" s="11" t="s">
        <v>1224</v>
      </c>
      <c r="M196" s="1" t="s">
        <v>459</v>
      </c>
      <c r="N196" s="1" t="s">
        <v>42</v>
      </c>
      <c r="O196" s="1">
        <v>110.0</v>
      </c>
      <c r="P196" s="1" t="s">
        <v>486</v>
      </c>
      <c r="Q196" s="1" t="s">
        <v>486</v>
      </c>
      <c r="R196" s="1" t="s">
        <v>235</v>
      </c>
      <c r="S196" s="1" t="s">
        <v>1225</v>
      </c>
      <c r="T196" s="1" t="s">
        <v>1221</v>
      </c>
      <c r="U196" s="1" t="s">
        <v>1104</v>
      </c>
      <c r="V196" s="1" t="s">
        <v>200</v>
      </c>
      <c r="W196" s="1" t="s">
        <v>1222</v>
      </c>
      <c r="X196" s="1" t="s">
        <v>176</v>
      </c>
      <c r="Y196" s="1" t="s">
        <v>189</v>
      </c>
      <c r="Z196" s="1" t="s">
        <v>50</v>
      </c>
      <c r="AA196" s="16">
        <v>22.22</v>
      </c>
      <c r="AB196" s="16">
        <f t="shared" si="2"/>
        <v>0.02222</v>
      </c>
      <c r="AC196" s="17" t="s">
        <v>201</v>
      </c>
      <c r="AD196" s="17" t="inlineStr">
        <is>
          <t>Further research required if this item is used in the project. Manufacturer heat-emission reference; empty cabinet at −20°C, ambient +25°C test context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 This retains the original reference, including any unresolved source limitations; it is not newly validated net room heat. REQUIRED: 22.22 W is the existing80 kJ/h emission reference, not110 W rated input and not a compressor-on peak. Exact current emission rating could not be reconfirmed this pass. Obtain manufacturer confirmation for SFTsg1501 variant, empty/load state, ambient/setpoint, defrost and gross-versus-net room heat. Loading/freezing specimens changes the balance. D/E remain blocked pending applicable evidence.</t>
        </is>
      </c>
      <c r="AE196" s="97" t="str">
        <v>EQ-0191</v>
      </c>
      <c r="AF196" s="98" t="str">
        <v>laboratory freezer - minus 20°c</v>
      </c>
      <c r="AG196" s="98" t="str">
        <v>REFERENCE_ONLY</v>
      </c>
      <c r="AH196" s="98" t="str">
        <v>Do not auto-use reference wattage. Resolve the missing heat data or document a project estimate.</v>
      </c>
    </row>
    <row r="197">
      <c r="A197" s="1" t="s">
        <v>230</v>
      </c>
      <c r="B197" s="1" t="s">
        <v>1227</v>
      </c>
      <c r="C197" s="7" t="s">
        <v>87</v>
      </c>
      <c r="D197" s="8">
        <v>330.0</v>
      </c>
      <c r="E197" s="8">
        <v>0.0</v>
      </c>
      <c r="F197" s="7" t="s">
        <v>1228</v>
      </c>
      <c r="G197" s="18">
        <v>451.62</v>
      </c>
      <c r="H197" s="19">
        <f t="shared" si="10"/>
        <v>0.45162</v>
      </c>
      <c r="I197" s="1" t="s">
        <v>1229</v>
      </c>
      <c r="J197" s="1" t="s">
        <v>1230</v>
      </c>
      <c r="K197" s="1" t="s">
        <v>1231</v>
      </c>
      <c r="L197" s="11" t="s">
        <v>1232</v>
      </c>
      <c r="M197" s="1" t="s">
        <v>414</v>
      </c>
      <c r="N197" s="1" t="s">
        <v>42</v>
      </c>
      <c r="O197" s="1"/>
      <c r="P197" s="1">
        <v>330.0</v>
      </c>
      <c r="Q197" s="1">
        <v>0.0</v>
      </c>
      <c r="R197" s="1" t="s">
        <v>235</v>
      </c>
      <c r="S197" s="1" t="s">
        <v>1233</v>
      </c>
      <c r="T197" s="1" t="s">
        <v>1229</v>
      </c>
      <c r="U197" s="1" t="s">
        <v>416</v>
      </c>
      <c r="V197" s="1" t="s">
        <v>46</v>
      </c>
      <c r="W197" s="1" t="s">
        <v>47</v>
      </c>
      <c r="X197" s="1" t="s">
        <v>176</v>
      </c>
      <c r="Y197" s="1" t="s">
        <v>189</v>
      </c>
      <c r="Z197" s="1" t="s">
        <v>50</v>
      </c>
      <c r="AA197" s="12">
        <v>330.0</v>
      </c>
      <c r="AB197" s="12">
        <f t="shared" si="2"/>
        <v>0.33</v>
      </c>
      <c r="AC197" s="13" t="s">
        <v>51</v>
      </c>
      <c r="AD197" s="13" t="s">
        <v>1228</v>
      </c>
      <c r="AE197" s="97" t="str">
        <v>EQ-0192</v>
      </c>
      <c r="AF197" s="98" t="str">
        <v>ultra-low-temperature freezer</v>
      </c>
      <c r="AG197" s="98" t="str">
        <v>CONDITIONAL_MATCH</v>
      </c>
      <c r="AH197" s="98" t="str">
        <v>Match model or supported analogue, operating state, room allocation and all conditions in F. Use D/E only.</v>
      </c>
    </row>
    <row r="198">
      <c r="A198" s="1" t="s">
        <v>230</v>
      </c>
      <c r="B198" s="1" t="s">
        <v>1234</v>
      </c>
      <c r="C198" s="13" t="s">
        <v>479</v>
      </c>
      <c r="D198" s="14" t="s">
        <v>67</v>
      </c>
      <c r="E198" s="14" t="s">
        <v>67</v>
      </c>
      <c r="F198" s="7" t="inlineStr">
        <is>
          <t>Further research required if this item is used in the project. USER-REQUESTED HYPOTHETICAL EXAMPLE: 50 W (0.05 kW). Illustrative hood electrical assembly: assumed 20 W lamp + 10 W controller + 20 W supply/other losses, all released locally; fan and laboratory processes excluded. Assumed for illustration, not sourced or project-approved. Sensible/latent split unverified. FC40010 VA is apparent power, not heat in watts. Obtain real input or power factor for the installed controller and a complete list of lamps, sash motors, supplies and fans. Determine what heat enters the exhaust instead of the room. Include motors only in their actual locations; compute outdoor makeup-air load separately. Controller-only data cannot represent a complete fume cupboard. D/E remain blocked.</t>
        </is>
      </c>
      <c r="G198" s="18" t="s">
        <v>616</v>
      </c>
      <c r="H198" s="19" t="s">
        <v>616</v>
      </c>
      <c r="I198" s="1" t="s">
        <v>1236</v>
      </c>
      <c r="J198" s="1" t="s">
        <v>1237</v>
      </c>
      <c r="K198" s="1" t="s">
        <v>1238</v>
      </c>
      <c r="L198" s="11" t="s">
        <v>1239</v>
      </c>
      <c r="M198" s="1" t="s">
        <v>621</v>
      </c>
      <c r="N198" s="1" t="s">
        <v>42</v>
      </c>
      <c r="O198" s="1" t="s">
        <v>606</v>
      </c>
      <c r="P198" s="1" t="s">
        <v>486</v>
      </c>
      <c r="Q198" s="1" t="s">
        <v>486</v>
      </c>
      <c r="R198" s="1" t="s">
        <v>235</v>
      </c>
      <c r="S198" s="1" t="s">
        <v>1240</v>
      </c>
      <c r="T198" s="1" t="s">
        <v>1236</v>
      </c>
      <c r="U198" s="1" t="s">
        <v>1104</v>
      </c>
      <c r="V198" s="1" t="s">
        <v>200</v>
      </c>
      <c r="W198" s="1" t="s">
        <v>1237</v>
      </c>
      <c r="X198" s="1" t="s">
        <v>48</v>
      </c>
      <c r="Y198" s="1" t="s">
        <v>49</v>
      </c>
      <c r="Z198" s="1" t="s">
        <v>50</v>
      </c>
      <c r="AA198" s="16">
        <v>50.0</v>
      </c>
      <c r="AB198" s="16">
        <f t="shared" si="2"/>
        <v>0.05</v>
      </c>
      <c r="AC198" s="17" t="s">
        <v>623</v>
      </c>
      <c r="AD198" s="17" t="inlineStr">
        <is>
          <t>Further research required if this item is used in the project. Illustrative hood electrical assembly: assumed 20 W lamp + 10 W controller + 20 W supply/other losses, all released locally; fan and laboratory processes excluded. REQUIRED: FC40010 VA is apparent power, not heat in watts. Obtain real input or power factor for the installed controller and a complete list of lamps, sash motors, supplies and fans. Determine what heat enters the exhaust instead of the room. Include motors only in their actual locations; compute outdoor makeup-air load separately. Controller-only data cannot represent a complete fume cupboard. D/E remain blocked.</t>
        </is>
      </c>
      <c r="AE198" s="97" t="str">
        <v>EQ-0193</v>
      </c>
      <c r="AF198" s="98" t="str">
        <v>fume cupboard - electrical components</v>
      </c>
      <c r="AG198" s="98" t="str">
        <v>REFERENCE_ONLY</v>
      </c>
      <c r="AH198" s="98" t="str">
        <v>Do not auto-use reference wattage. Resolve the missing heat data or document a project estimate.</v>
      </c>
    </row>
    <row r="199">
      <c r="A199" s="1" t="s">
        <v>230</v>
      </c>
      <c r="B199" s="1" t="s">
        <v>1242</v>
      </c>
      <c r="C199" s="7" t="s">
        <v>1098</v>
      </c>
      <c r="D199" s="8">
        <v>334.1</v>
      </c>
      <c r="E199" s="8">
        <v>0.0</v>
      </c>
      <c r="F199" s="7" t="s">
        <v>1243</v>
      </c>
      <c r="G199" s="18">
        <v>334.1</v>
      </c>
      <c r="H199" s="19">
        <f t="shared" ref="H199:H203" si="11">G199/1000</f>
        <v>0.3341</v>
      </c>
      <c r="I199" s="1" t="s">
        <v>1244</v>
      </c>
      <c r="J199" s="1" t="s">
        <v>1243</v>
      </c>
      <c r="K199" s="1" t="s">
        <v>1245</v>
      </c>
      <c r="L199" s="11" t="s">
        <v>1246</v>
      </c>
      <c r="M199" s="1" t="s">
        <v>1102</v>
      </c>
      <c r="N199" s="1" t="s">
        <v>42</v>
      </c>
      <c r="O199" s="1" t="s">
        <v>606</v>
      </c>
      <c r="P199" s="1">
        <v>334.1</v>
      </c>
      <c r="Q199" s="1">
        <v>0.0</v>
      </c>
      <c r="R199" s="1" t="s">
        <v>235</v>
      </c>
      <c r="S199" s="1" t="s">
        <v>1247</v>
      </c>
      <c r="T199" s="1" t="s">
        <v>1244</v>
      </c>
      <c r="U199" s="1" t="s">
        <v>1104</v>
      </c>
      <c r="V199" s="1" t="s">
        <v>46</v>
      </c>
      <c r="W199" s="1" t="s">
        <v>47</v>
      </c>
      <c r="X199" s="1" t="s">
        <v>48</v>
      </c>
      <c r="Y199" s="1" t="s">
        <v>49</v>
      </c>
      <c r="Z199" s="1" t="s">
        <v>50</v>
      </c>
      <c r="AA199" s="12">
        <v>334.1</v>
      </c>
      <c r="AB199" s="12">
        <f t="shared" si="2"/>
        <v>0.3341</v>
      </c>
      <c r="AC199" s="13" t="s">
        <v>51</v>
      </c>
      <c r="AD199" s="13" t="s">
        <v>1243</v>
      </c>
      <c r="AE199" s="97" t="str">
        <v>EQ-0194</v>
      </c>
      <c r="AF199" s="98" t="str">
        <v>biosafety cabinet</v>
      </c>
      <c r="AG199" s="98" t="str">
        <v>CONDITIONAL_MATCH</v>
      </c>
      <c r="AH199" s="98" t="str">
        <v>Match model or supported analogue, operating state, room allocation and all conditions in F. Use D/E only.</v>
      </c>
    </row>
    <row r="200">
      <c r="A200" s="1" t="s">
        <v>230</v>
      </c>
      <c r="B200" s="1" t="s">
        <v>1248</v>
      </c>
      <c r="C200" s="13" t="s">
        <v>87</v>
      </c>
      <c r="D200" s="14">
        <v>180.0</v>
      </c>
      <c r="E200" s="14">
        <v>0.0</v>
      </c>
      <c r="F200" s="13" t="s">
        <v>1249</v>
      </c>
      <c r="G200" s="18">
        <v>180.0</v>
      </c>
      <c r="H200" s="19">
        <f t="shared" si="11"/>
        <v>0.18</v>
      </c>
      <c r="I200" s="1" t="s">
        <v>1250</v>
      </c>
      <c r="J200" s="1" t="s">
        <v>1251</v>
      </c>
      <c r="K200" s="1" t="s">
        <v>1252</v>
      </c>
      <c r="L200" s="11" t="s">
        <v>1253</v>
      </c>
      <c r="M200" s="1" t="s">
        <v>459</v>
      </c>
      <c r="N200" s="1" t="s">
        <v>42</v>
      </c>
      <c r="O200" s="1">
        <v>180.0</v>
      </c>
      <c r="P200" s="1">
        <v>180.0</v>
      </c>
      <c r="Q200" s="1">
        <v>0.0</v>
      </c>
      <c r="R200" s="1" t="s">
        <v>235</v>
      </c>
      <c r="S200" s="1" t="s">
        <v>1254</v>
      </c>
      <c r="T200" s="1" t="s">
        <v>1250</v>
      </c>
      <c r="U200" s="1" t="s">
        <v>461</v>
      </c>
      <c r="V200" s="1" t="s">
        <v>46</v>
      </c>
      <c r="W200" s="1" t="s">
        <v>47</v>
      </c>
      <c r="X200" s="1" t="s">
        <v>903</v>
      </c>
      <c r="Y200" s="1" t="s">
        <v>904</v>
      </c>
      <c r="Z200" s="1" t="s">
        <v>50</v>
      </c>
      <c r="AA200" s="12">
        <v>180.0</v>
      </c>
      <c r="AB200" s="12">
        <f t="shared" si="2"/>
        <v>0.18</v>
      </c>
      <c r="AC200" s="13" t="s">
        <v>51</v>
      </c>
      <c r="AD200" s="13" t="s">
        <v>1249</v>
      </c>
      <c r="AE200" s="97" t="str">
        <v>EQ-0195</v>
      </c>
      <c r="AF200" s="98" t="str">
        <v>laboratory drying oven</v>
      </c>
      <c r="AG200" s="98" t="str">
        <v>CONDITIONAL_MATCH</v>
      </c>
      <c r="AH200" s="98" t="str">
        <v>Match model or supported analogue, operating state, room allocation and all conditions in F. Use D/E only.</v>
      </c>
    </row>
    <row r="201">
      <c r="A201" s="1" t="s">
        <v>230</v>
      </c>
      <c r="B201" s="1" t="s">
        <v>1255</v>
      </c>
      <c r="C201" s="13" t="s">
        <v>87</v>
      </c>
      <c r="D201" s="14">
        <v>140.0</v>
      </c>
      <c r="E201" s="14">
        <v>0.0</v>
      </c>
      <c r="F201" s="13" t="s">
        <v>1256</v>
      </c>
      <c r="G201" s="18">
        <v>140.0</v>
      </c>
      <c r="H201" s="19">
        <f t="shared" si="11"/>
        <v>0.14</v>
      </c>
      <c r="I201" s="1" t="s">
        <v>1257</v>
      </c>
      <c r="J201" s="1" t="s">
        <v>1258</v>
      </c>
      <c r="K201" s="1" t="s">
        <v>1259</v>
      </c>
      <c r="L201" s="11" t="s">
        <v>1260</v>
      </c>
      <c r="M201" s="1" t="s">
        <v>459</v>
      </c>
      <c r="N201" s="1" t="s">
        <v>42</v>
      </c>
      <c r="O201" s="1">
        <v>140.0</v>
      </c>
      <c r="P201" s="1">
        <v>140.0</v>
      </c>
      <c r="Q201" s="1">
        <v>0.0</v>
      </c>
      <c r="R201" s="1" t="s">
        <v>235</v>
      </c>
      <c r="S201" s="1" t="s">
        <v>1261</v>
      </c>
      <c r="T201" s="1" t="s">
        <v>1257</v>
      </c>
      <c r="U201" s="1" t="s">
        <v>461</v>
      </c>
      <c r="V201" s="1" t="s">
        <v>46</v>
      </c>
      <c r="W201" s="1" t="s">
        <v>47</v>
      </c>
      <c r="X201" s="1" t="s">
        <v>903</v>
      </c>
      <c r="Y201" s="1" t="s">
        <v>904</v>
      </c>
      <c r="Z201" s="1" t="s">
        <v>50</v>
      </c>
      <c r="AA201" s="12">
        <v>140.0</v>
      </c>
      <c r="AB201" s="12">
        <f t="shared" si="2"/>
        <v>0.14</v>
      </c>
      <c r="AC201" s="13" t="s">
        <v>51</v>
      </c>
      <c r="AD201" s="13" t="s">
        <v>1256</v>
      </c>
      <c r="AE201" s="97" t="str">
        <v>EQ-0196</v>
      </c>
      <c r="AF201" s="98" t="str">
        <v>vacuum oven</v>
      </c>
      <c r="AG201" s="98" t="str">
        <v>CONDITIONAL_MATCH</v>
      </c>
      <c r="AH201" s="98" t="str">
        <v>Match model or supported analogue, operating state, room allocation and all conditions in F. Use D/E only.</v>
      </c>
    </row>
    <row r="202">
      <c r="A202" s="1" t="s">
        <v>230</v>
      </c>
      <c r="B202" s="1" t="s">
        <v>1262</v>
      </c>
      <c r="C202" s="13" t="s">
        <v>442</v>
      </c>
      <c r="D202" s="14" t="s">
        <v>67</v>
      </c>
      <c r="E202" s="14" t="s">
        <v>67</v>
      </c>
      <c r="F202" s="7" t="inlineStr">
        <is>
          <t>Further research required if this item is used in the project. NUMERIC EXAMPLE: 2250 W (2.25 kW); EXISTING REFERENCE — scope/state limits apply.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t>
        </is>
      </c>
      <c r="G202" s="18">
        <v>2250.0</v>
      </c>
      <c r="H202" s="19">
        <f t="shared" si="11"/>
        <v>2.25</v>
      </c>
      <c r="I202" s="1" t="s">
        <v>1264</v>
      </c>
      <c r="J202" s="1" t="s">
        <v>1265</v>
      </c>
      <c r="K202" s="1" t="s">
        <v>1266</v>
      </c>
      <c r="L202" s="11" t="s">
        <v>1267</v>
      </c>
      <c r="M202" s="1" t="s">
        <v>459</v>
      </c>
      <c r="N202" s="1" t="s">
        <v>42</v>
      </c>
      <c r="O202" s="1" t="s">
        <v>606</v>
      </c>
      <c r="P202" s="1" t="s">
        <v>486</v>
      </c>
      <c r="Q202" s="1" t="s">
        <v>486</v>
      </c>
      <c r="R202" s="1" t="s">
        <v>235</v>
      </c>
      <c r="S202" s="1" t="s">
        <v>1268</v>
      </c>
      <c r="T202" s="1" t="s">
        <v>1264</v>
      </c>
      <c r="U202" s="1" t="s">
        <v>1104</v>
      </c>
      <c r="V202" s="1" t="s">
        <v>200</v>
      </c>
      <c r="W202" s="1" t="s">
        <v>1265</v>
      </c>
      <c r="X202" s="1" t="s">
        <v>48</v>
      </c>
      <c r="Y202" s="1" t="s">
        <v>49</v>
      </c>
      <c r="Z202" s="1" t="s">
        <v>50</v>
      </c>
      <c r="AA202" s="16">
        <v>2250.0</v>
      </c>
      <c r="AB202" s="16">
        <f t="shared" si="2"/>
        <v>2.25</v>
      </c>
      <c r="AC202" s="17" t="s">
        <v>201</v>
      </c>
      <c r="AD202" s="17" t="inlineStr">
        <is>
          <t>Further research required if this item is used in the project. Maximum-load hourly heat emission2.25 kWh per hour =2.25 kW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 This retains the original reference, including any unresolved source limitations; it is not newly validated net room heat. REQUIRED: 2250 W is an existing maximum-load total-emission reference for MELAG Vacuclave550, not a documented sensible/latent split. Manual retrieval timed out this pass. Obtain cycle-specific room emissions, steam/condensate connections, cooling-water/drain temperatures and post-cycle door-opening release. Exhaust may remove part of the gain; treat makeup air separately. Do not set latent to0 or add full electrical input to emissions. D/E remain blocked.</t>
        </is>
      </c>
      <c r="AE202" s="97" t="str">
        <v>EQ-0197</v>
      </c>
      <c r="AF202" s="98" t="str">
        <v>autoclave</v>
      </c>
      <c r="AG202" s="98" t="str">
        <v>REFERENCE_ONLY</v>
      </c>
      <c r="AH202" s="98" t="str">
        <v>Do not auto-use reference wattage. Resolve the missing heat data or document a project estimate.</v>
      </c>
    </row>
    <row r="203">
      <c r="A203" s="1" t="s">
        <v>230</v>
      </c>
      <c r="B203" s="1" t="s">
        <v>1270</v>
      </c>
      <c r="C203" s="13" t="s">
        <v>479</v>
      </c>
      <c r="D203" s="14" t="s">
        <v>67</v>
      </c>
      <c r="E203" s="14" t="s">
        <v>67</v>
      </c>
      <c r="F203" s="7" t="inlineStr">
        <is>
          <t>Further research required if this item is used in the project. NUMERIC EXAMPLE: 33 W (0.033 kW); EXISTING REFERENCE — scope/state limits apply.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t>
        </is>
      </c>
      <c r="G203" s="18">
        <v>33.0</v>
      </c>
      <c r="H203" s="19">
        <f t="shared" si="11"/>
        <v>0.033</v>
      </c>
      <c r="I203" s="1" t="s">
        <v>1272</v>
      </c>
      <c r="J203" s="1" t="s">
        <v>1273</v>
      </c>
      <c r="K203" s="1" t="s">
        <v>1274</v>
      </c>
      <c r="L203" s="11" t="s">
        <v>1275</v>
      </c>
      <c r="M203" s="1" t="s">
        <v>1276</v>
      </c>
      <c r="N203" s="1" t="s">
        <v>42</v>
      </c>
      <c r="O203" s="1" t="s">
        <v>1277</v>
      </c>
      <c r="P203" s="1" t="s">
        <v>486</v>
      </c>
      <c r="Q203" s="1" t="s">
        <v>486</v>
      </c>
      <c r="R203" s="1" t="s">
        <v>235</v>
      </c>
      <c r="S203" s="1" t="s">
        <v>1278</v>
      </c>
      <c r="T203" s="1" t="s">
        <v>1279</v>
      </c>
      <c r="U203" s="1" t="s">
        <v>1104</v>
      </c>
      <c r="V203" s="1" t="s">
        <v>200</v>
      </c>
      <c r="W203" s="1" t="s">
        <v>1273</v>
      </c>
      <c r="X203" s="1" t="s">
        <v>48</v>
      </c>
      <c r="Y203" s="1" t="s">
        <v>49</v>
      </c>
      <c r="Z203" s="1" t="s">
        <v>50</v>
      </c>
      <c r="AA203" s="16">
        <v>33.0</v>
      </c>
      <c r="AB203" s="16">
        <f t="shared" si="2"/>
        <v>0.033</v>
      </c>
      <c r="AC203" s="17" t="s">
        <v>201</v>
      </c>
      <c r="AD203" s="17" t="inlineStr">
        <is>
          <t>Further research required if this item is used in the project. WTB35 steady state37°C, flat lid; total heat only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 This retains the original reference, including any unresolved source limitations; it is not newly validated net room heat. REQUIRED: New reference: Memmert WTB35 at37°C, flat lid, steady state:33 W total heat/energy consumption; at45°C55 W,70°C162 W,90°C282 W,100°C422 W. Test ambient22±3°C and40±10%RH. These are different-model data, NOT Thermo Precision182 ratings. Source does not separate sensible and latent. Warm-up, open lid, samples and evaporation need separate assessment; D/E remain blocked until room split is established.</t>
        </is>
      </c>
      <c r="AE203" s="97" t="str">
        <v>EQ-0198</v>
      </c>
      <c r="AF203" s="98" t="str">
        <v>laboratory water bath</v>
      </c>
      <c r="AG203" s="98" t="str">
        <v>REFERENCE_ONLY</v>
      </c>
      <c r="AH203" s="98" t="str">
        <v>Do not auto-use reference wattage. Resolve the missing heat data or document a project estimate.</v>
      </c>
    </row>
    <row r="204">
      <c r="A204" s="1" t="s">
        <v>230</v>
      </c>
      <c r="B204" s="1" t="s">
        <v>1281</v>
      </c>
      <c r="C204" s="13" t="s">
        <v>479</v>
      </c>
      <c r="D204" s="14" t="s">
        <v>67</v>
      </c>
      <c r="E204" s="14" t="s">
        <v>67</v>
      </c>
      <c r="F204" s="7" t="inlineStr">
        <is>
          <t>Further research required if this item is used in the project. NUMERIC EXAMPLE: 650 W (0.65 kW); ELECTRICAL INPUT — not established room heat.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t>
        </is>
      </c>
      <c r="G204" s="18" t="s">
        <v>616</v>
      </c>
      <c r="H204" s="19" t="s">
        <v>616</v>
      </c>
      <c r="I204" s="1" t="s">
        <v>1283</v>
      </c>
      <c r="J204" s="1" t="s">
        <v>1284</v>
      </c>
      <c r="K204" s="1" t="s">
        <v>1285</v>
      </c>
      <c r="L204" s="11" t="s">
        <v>1286</v>
      </c>
      <c r="M204" s="1" t="s">
        <v>485</v>
      </c>
      <c r="N204" s="1" t="s">
        <v>42</v>
      </c>
      <c r="O204" s="1">
        <v>650.0</v>
      </c>
      <c r="P204" s="1" t="s">
        <v>486</v>
      </c>
      <c r="Q204" s="1" t="s">
        <v>486</v>
      </c>
      <c r="R204" s="1" t="s">
        <v>235</v>
      </c>
      <c r="S204" s="1" t="s">
        <v>1287</v>
      </c>
      <c r="T204" s="1" t="s">
        <v>1283</v>
      </c>
      <c r="U204" s="1" t="s">
        <v>1104</v>
      </c>
      <c r="V204" s="1" t="s">
        <v>200</v>
      </c>
      <c r="W204" s="1" t="s">
        <v>1284</v>
      </c>
      <c r="X204" s="1" t="s">
        <v>48</v>
      </c>
      <c r="Y204" s="1" t="s">
        <v>49</v>
      </c>
      <c r="Z204" s="1" t="s">
        <v>50</v>
      </c>
      <c r="AA204" s="16">
        <v>650.0</v>
      </c>
      <c r="AB204" s="16">
        <f t="shared" si="2"/>
        <v>0.65</v>
      </c>
      <c r="AC204" s="17" t="s">
        <v>878</v>
      </c>
      <c r="AD204" s="17" t="inlineStr">
        <is>
          <t>Further research required if this item is used in the project. Existing electrical reference for Hotplate / magnetic stirrer: 650 W.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 This is not a measured sensible/latent room load. Only a closed energy balance can justify equating it to eventual total heat; external steam, refrigerant, fluid, work, storage and exhaust can change that result. REQUIRED: 650 W is the existing IKA RCT basic electrical reference, including a600 W heater; not typical room heat. Record stirrer-only/heating states, temperature, vessel/lid, sample throughput, evaporation and exhaust capture. Obtain real input and room emissions per state. Samples removed hot export heat. Avoid treating the entire rating as sensible while adding evaporation heat again. D/E remain blocked.</t>
        </is>
      </c>
      <c r="AE204" s="97" t="str">
        <v>EQ-0199</v>
      </c>
      <c r="AF204" s="98" t="str">
        <v>hotplate / magnetic stirrer</v>
      </c>
      <c r="AG204" s="98" t="str">
        <v>REFERENCE_ONLY</v>
      </c>
      <c r="AH204" s="98" t="str">
        <v>Do not auto-use reference wattage. Resolve the missing heat data or document a project estimate.</v>
      </c>
    </row>
    <row r="205">
      <c r="A205" s="1" t="s">
        <v>230</v>
      </c>
      <c r="B205" s="1" t="s">
        <v>1289</v>
      </c>
      <c r="C205" s="13" t="s">
        <v>479</v>
      </c>
      <c r="D205" s="14" t="s">
        <v>67</v>
      </c>
      <c r="E205" s="14" t="s">
        <v>67</v>
      </c>
      <c r="F205" s="7" t="inlineStr">
        <is>
          <t>Further research required if this item is used in the project. NUMERIC EXAMPLE: 400 W (0.4 kW); ELECTRICAL INPUT — not established room heat.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t>
        </is>
      </c>
      <c r="G205" s="18" t="s">
        <v>616</v>
      </c>
      <c r="H205" s="19" t="s">
        <v>616</v>
      </c>
      <c r="I205" s="1" t="s">
        <v>1042</v>
      </c>
      <c r="J205" s="1" t="s">
        <v>1291</v>
      </c>
      <c r="K205" s="1" t="s">
        <v>1292</v>
      </c>
      <c r="L205" s="11" t="s">
        <v>1293</v>
      </c>
      <c r="M205" s="1" t="s">
        <v>485</v>
      </c>
      <c r="N205" s="1" t="s">
        <v>42</v>
      </c>
      <c r="O205" s="1">
        <v>400.0</v>
      </c>
      <c r="P205" s="1" t="s">
        <v>486</v>
      </c>
      <c r="Q205" s="1" t="s">
        <v>486</v>
      </c>
      <c r="R205" s="1" t="s">
        <v>235</v>
      </c>
      <c r="S205" s="1" t="s">
        <v>1294</v>
      </c>
      <c r="T205" s="1" t="s">
        <v>1042</v>
      </c>
      <c r="U205" s="1" t="s">
        <v>1104</v>
      </c>
      <c r="V205" s="1" t="s">
        <v>200</v>
      </c>
      <c r="W205" s="1" t="s">
        <v>1291</v>
      </c>
      <c r="X205" s="1" t="s">
        <v>48</v>
      </c>
      <c r="Y205" s="1" t="s">
        <v>49</v>
      </c>
      <c r="Z205" s="1" t="s">
        <v>50</v>
      </c>
      <c r="AA205" s="16">
        <v>400.0</v>
      </c>
      <c r="AB205" s="16">
        <f t="shared" si="2"/>
        <v>0.4</v>
      </c>
      <c r="AC205" s="17" t="s">
        <v>878</v>
      </c>
      <c r="AD205" s="17" t="inlineStr">
        <is>
          <t>Further research required if this item is used in the project. Existing electrical reference for Laboratory heating mantle: 400 W.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 This is not a measured sensible/latent room load. Only a closed energy balance can justify equating it to eventual total heat; external steam, refrigerant, fluid, work, storage and exhaust can change that result. REQUIRED: 400 W is the existing Labnics NTSM-101 electrical-rating reference. Need mantle/controller duty, flask temperature, insulation, solvent/water evaporation, condenser arrangement and exhaust path. Reflux cooling can export heat to cooling water; hot samples may leave the room. Determine net sensible/latent room release for the process, not just rated heater watts. D/E remain blocked.</t>
        </is>
      </c>
      <c r="AE205" s="97" t="str">
        <v>EQ-0200</v>
      </c>
      <c r="AF205" s="98" t="str">
        <v>laboratory heating mantle</v>
      </c>
      <c r="AG205" s="98" t="str">
        <v>REFERENCE_ONLY</v>
      </c>
      <c r="AH205" s="98" t="str">
        <v>Do not auto-use reference wattage. Resolve the missing heat data or document a project estimate.</v>
      </c>
    </row>
    <row r="206">
      <c r="A206" s="1" t="s">
        <v>230</v>
      </c>
      <c r="B206" s="1" t="s">
        <v>1296</v>
      </c>
      <c r="C206" s="13" t="s">
        <v>35</v>
      </c>
      <c r="D206" s="14">
        <v>1200.0</v>
      </c>
      <c r="E206" s="14">
        <v>0.0</v>
      </c>
      <c r="F206" s="13" t="s">
        <v>1297</v>
      </c>
      <c r="G206" s="18">
        <v>1200.0</v>
      </c>
      <c r="H206" s="19">
        <f t="shared" ref="H206:H210" si="12">G206/1000</f>
        <v>1.2</v>
      </c>
      <c r="I206" s="1" t="s">
        <v>1298</v>
      </c>
      <c r="J206" s="1" t="s">
        <v>1299</v>
      </c>
      <c r="K206" s="1" t="s">
        <v>1300</v>
      </c>
      <c r="L206" s="11" t="s">
        <v>1301</v>
      </c>
      <c r="M206" s="1" t="s">
        <v>1302</v>
      </c>
      <c r="N206" s="1" t="s">
        <v>42</v>
      </c>
      <c r="O206" s="1">
        <v>1500.0</v>
      </c>
      <c r="P206" s="1">
        <v>1200.0</v>
      </c>
      <c r="Q206" s="1">
        <v>0.0</v>
      </c>
      <c r="R206" s="1" t="s">
        <v>235</v>
      </c>
      <c r="S206" s="1" t="s">
        <v>1303</v>
      </c>
      <c r="T206" s="1" t="s">
        <v>1298</v>
      </c>
      <c r="U206" s="1" t="s">
        <v>1304</v>
      </c>
      <c r="V206" s="1" t="s">
        <v>46</v>
      </c>
      <c r="W206" s="1" t="s">
        <v>47</v>
      </c>
      <c r="X206" s="1" t="s">
        <v>176</v>
      </c>
      <c r="Y206" s="1" t="s">
        <v>189</v>
      </c>
      <c r="Z206" s="1" t="s">
        <v>50</v>
      </c>
      <c r="AA206" s="12">
        <v>1200.0</v>
      </c>
      <c r="AB206" s="12">
        <f t="shared" si="2"/>
        <v>1.2</v>
      </c>
      <c r="AC206" s="13" t="s">
        <v>51</v>
      </c>
      <c r="AD206" s="13" t="s">
        <v>1297</v>
      </c>
      <c r="AE206" s="97" t="str">
        <v>EQ-0201</v>
      </c>
      <c r="AF206" s="98" t="str">
        <v>laboratory centrifuge - refrigerated</v>
      </c>
      <c r="AG206" s="98" t="str">
        <v>CONDITIONAL_MATCH</v>
      </c>
      <c r="AH206" s="98" t="str">
        <v>Match model or supported analogue, operating state, room allocation and all conditions in F. Use D/E only.</v>
      </c>
    </row>
    <row r="207">
      <c r="A207" s="1" t="s">
        <v>230</v>
      </c>
      <c r="B207" s="1" t="s">
        <v>1305</v>
      </c>
      <c r="C207" s="13" t="s">
        <v>35</v>
      </c>
      <c r="D207" s="14">
        <v>18.0</v>
      </c>
      <c r="E207" s="14">
        <v>0.0</v>
      </c>
      <c r="F207" s="13" t="s">
        <v>1306</v>
      </c>
      <c r="G207" s="18">
        <v>18.0</v>
      </c>
      <c r="H207" s="19">
        <f t="shared" si="12"/>
        <v>0.018</v>
      </c>
      <c r="I207" s="1" t="s">
        <v>1307</v>
      </c>
      <c r="J207" s="1" t="s">
        <v>1308</v>
      </c>
      <c r="K207" s="1" t="s">
        <v>1309</v>
      </c>
      <c r="L207" s="11" t="s">
        <v>1310</v>
      </c>
      <c r="M207" s="1" t="s">
        <v>524</v>
      </c>
      <c r="N207" s="1" t="s">
        <v>42</v>
      </c>
      <c r="O207" s="1">
        <v>18.0</v>
      </c>
      <c r="P207" s="1">
        <v>18.0</v>
      </c>
      <c r="Q207" s="1">
        <v>0.0</v>
      </c>
      <c r="R207" s="1" t="s">
        <v>235</v>
      </c>
      <c r="S207" s="1" t="s">
        <v>1311</v>
      </c>
      <c r="T207" s="1" t="s">
        <v>1307</v>
      </c>
      <c r="U207" s="1" t="s">
        <v>559</v>
      </c>
      <c r="V207" s="1" t="s">
        <v>46</v>
      </c>
      <c r="W207" s="1" t="s">
        <v>47</v>
      </c>
      <c r="X207" s="1" t="s">
        <v>48</v>
      </c>
      <c r="Y207" s="1" t="s">
        <v>49</v>
      </c>
      <c r="Z207" s="1" t="s">
        <v>50</v>
      </c>
      <c r="AA207" s="12">
        <v>18.0</v>
      </c>
      <c r="AB207" s="12">
        <f t="shared" si="2"/>
        <v>0.018</v>
      </c>
      <c r="AC207" s="13" t="s">
        <v>51</v>
      </c>
      <c r="AD207" s="13" t="s">
        <v>1306</v>
      </c>
      <c r="AE207" s="97" t="str">
        <v>EQ-0202</v>
      </c>
      <c r="AF207" s="98" t="str">
        <v>spectrophotometer</v>
      </c>
      <c r="AG207" s="98" t="str">
        <v>CONDITIONAL_MATCH</v>
      </c>
      <c r="AH207" s="98" t="str">
        <v>Match model or supported analogue, operating state, room allocation and all conditions in F. Use D/E only.</v>
      </c>
    </row>
    <row r="208">
      <c r="A208" s="1" t="s">
        <v>230</v>
      </c>
      <c r="B208" s="1" t="s">
        <v>1312</v>
      </c>
      <c r="C208" s="7" t="s">
        <v>1313</v>
      </c>
      <c r="D208" s="8">
        <v>575.0</v>
      </c>
      <c r="E208" s="8">
        <v>0.0</v>
      </c>
      <c r="F208" s="7" t="s">
        <v>1314</v>
      </c>
      <c r="G208" s="18">
        <v>575.0</v>
      </c>
      <c r="H208" s="19">
        <f t="shared" si="12"/>
        <v>0.575</v>
      </c>
      <c r="I208" s="1" t="s">
        <v>1315</v>
      </c>
      <c r="J208" s="1" t="s">
        <v>1314</v>
      </c>
      <c r="K208" s="1" t="s">
        <v>1316</v>
      </c>
      <c r="L208" s="11" t="s">
        <v>1317</v>
      </c>
      <c r="M208" s="1" t="s">
        <v>1318</v>
      </c>
      <c r="N208" s="1" t="s">
        <v>42</v>
      </c>
      <c r="O208" s="1">
        <v>575.0</v>
      </c>
      <c r="P208" s="1">
        <v>575.0</v>
      </c>
      <c r="Q208" s="1">
        <v>0.0</v>
      </c>
      <c r="R208" s="1" t="s">
        <v>235</v>
      </c>
      <c r="S208" s="1" t="s">
        <v>1319</v>
      </c>
      <c r="T208" s="1" t="s">
        <v>1320</v>
      </c>
      <c r="U208" s="1" t="s">
        <v>1321</v>
      </c>
      <c r="V208" s="1" t="s">
        <v>46</v>
      </c>
      <c r="W208" s="1" t="s">
        <v>47</v>
      </c>
      <c r="X208" s="1" t="s">
        <v>48</v>
      </c>
      <c r="Y208" s="1" t="s">
        <v>49</v>
      </c>
      <c r="Z208" s="1" t="s">
        <v>50</v>
      </c>
      <c r="AA208" s="12">
        <v>575.0</v>
      </c>
      <c r="AB208" s="12">
        <f t="shared" si="2"/>
        <v>0.575</v>
      </c>
      <c r="AC208" s="13" t="s">
        <v>51</v>
      </c>
      <c r="AD208" s="13" t="s">
        <v>1314</v>
      </c>
      <c r="AE208" s="97" t="str">
        <v>EQ-0203</v>
      </c>
      <c r="AF208" s="98" t="str">
        <v>hplc / chromatography system</v>
      </c>
      <c r="AG208" s="98" t="str">
        <v>CONDITIONAL_MATCH</v>
      </c>
      <c r="AH208" s="98" t="str">
        <v>Match model or supported analogue, operating state, room allocation and all conditions in F. Use D/E only.</v>
      </c>
    </row>
    <row r="209">
      <c r="A209" s="1" t="s">
        <v>230</v>
      </c>
      <c r="B209" s="1" t="s">
        <v>1322</v>
      </c>
      <c r="C209" s="7" t="s">
        <v>87</v>
      </c>
      <c r="D209" s="8">
        <v>2400.0</v>
      </c>
      <c r="E209" s="8">
        <v>0.0</v>
      </c>
      <c r="F209" s="7" t="s">
        <v>1323</v>
      </c>
      <c r="G209" s="18">
        <v>2000.0</v>
      </c>
      <c r="H209" s="19">
        <f t="shared" si="12"/>
        <v>2</v>
      </c>
      <c r="I209" s="1" t="s">
        <v>1324</v>
      </c>
      <c r="J209" s="1" t="s">
        <v>1323</v>
      </c>
      <c r="K209" s="1" t="s">
        <v>1325</v>
      </c>
      <c r="L209" s="11" t="s">
        <v>1326</v>
      </c>
      <c r="M209" s="1" t="s">
        <v>1327</v>
      </c>
      <c r="N209" s="1" t="s">
        <v>42</v>
      </c>
      <c r="O209" s="1"/>
      <c r="P209" s="1">
        <v>2400.0</v>
      </c>
      <c r="Q209" s="1">
        <v>0.0</v>
      </c>
      <c r="R209" s="1" t="s">
        <v>235</v>
      </c>
      <c r="S209" s="1" t="s">
        <v>1328</v>
      </c>
      <c r="T209" s="1" t="s">
        <v>1329</v>
      </c>
      <c r="U209" s="1" t="s">
        <v>1330</v>
      </c>
      <c r="V209" s="1" t="s">
        <v>46</v>
      </c>
      <c r="W209" s="1" t="s">
        <v>47</v>
      </c>
      <c r="X209" s="1" t="s">
        <v>48</v>
      </c>
      <c r="Y209" s="1" t="s">
        <v>49</v>
      </c>
      <c r="Z209" s="1" t="s">
        <v>50</v>
      </c>
      <c r="AA209" s="12">
        <v>2400.0</v>
      </c>
      <c r="AB209" s="12">
        <f t="shared" si="2"/>
        <v>2.4</v>
      </c>
      <c r="AC209" s="13" t="s">
        <v>51</v>
      </c>
      <c r="AD209" s="13" t="s">
        <v>1323</v>
      </c>
      <c r="AE209" s="97" t="str">
        <v>EQ-0204</v>
      </c>
      <c r="AF209" s="98" t="str">
        <v>mass spectrometer</v>
      </c>
      <c r="AG209" s="98" t="str">
        <v>CONDITIONAL_MATCH</v>
      </c>
      <c r="AH209" s="98" t="str">
        <v>Match model or supported analogue, operating state, room allocation and all conditions in F. Use D/E only.</v>
      </c>
    </row>
    <row r="210">
      <c r="A210" s="1" t="s">
        <v>230</v>
      </c>
      <c r="B210" s="1" t="s">
        <v>1331</v>
      </c>
      <c r="C210" s="13" t="s">
        <v>87</v>
      </c>
      <c r="D210" s="14">
        <v>1100.0</v>
      </c>
      <c r="E210" s="14">
        <v>0.0</v>
      </c>
      <c r="F210" s="13" t="s">
        <v>1332</v>
      </c>
      <c r="G210" s="18">
        <v>1100.0</v>
      </c>
      <c r="H210" s="19">
        <f t="shared" si="12"/>
        <v>1.1</v>
      </c>
      <c r="I210" s="1" t="s">
        <v>1333</v>
      </c>
      <c r="J210" s="1" t="s">
        <v>1334</v>
      </c>
      <c r="K210" s="1" t="s">
        <v>1335</v>
      </c>
      <c r="L210" s="11" t="s">
        <v>1326</v>
      </c>
      <c r="M210" s="1" t="s">
        <v>1336</v>
      </c>
      <c r="N210" s="1" t="s">
        <v>42</v>
      </c>
      <c r="O210" s="1" t="s">
        <v>486</v>
      </c>
      <c r="P210" s="1" t="s">
        <v>486</v>
      </c>
      <c r="Q210" s="1" t="s">
        <v>486</v>
      </c>
      <c r="R210" s="1" t="s">
        <v>235</v>
      </c>
      <c r="S210" s="1" t="s">
        <v>1337</v>
      </c>
      <c r="T210" s="1" t="s">
        <v>1338</v>
      </c>
      <c r="U210" s="1" t="s">
        <v>1339</v>
      </c>
      <c r="V210" s="1" t="s">
        <v>46</v>
      </c>
      <c r="W210" s="1" t="s">
        <v>47</v>
      </c>
      <c r="X210" s="1" t="s">
        <v>48</v>
      </c>
      <c r="Y210" s="1" t="s">
        <v>49</v>
      </c>
      <c r="Z210" s="1" t="s">
        <v>50</v>
      </c>
      <c r="AA210" s="12">
        <v>1100.0</v>
      </c>
      <c r="AB210" s="12">
        <f t="shared" si="2"/>
        <v>1.1</v>
      </c>
      <c r="AC210" s="13" t="s">
        <v>51</v>
      </c>
      <c r="AD210" s="13" t="s">
        <v>1332</v>
      </c>
      <c r="AE210" s="97" t="str">
        <v>EQ-0205</v>
      </c>
      <c r="AF210" s="98" t="str">
        <v>laboratory vacuum pump</v>
      </c>
      <c r="AG210" s="98" t="str">
        <v>CONDITIONAL_MATCH</v>
      </c>
      <c r="AH210" s="98" t="str">
        <v>Match model or supported analogue, operating state, room allocation and all conditions in F. Use D/E only.</v>
      </c>
    </row>
    <row r="211">
      <c r="A211" s="1" t="s">
        <v>230</v>
      </c>
      <c r="B211" s="1" t="s">
        <v>1340</v>
      </c>
      <c r="C211" s="13" t="s">
        <v>479</v>
      </c>
      <c r="D211" s="14" t="s">
        <v>67</v>
      </c>
      <c r="E211" s="14" t="s">
        <v>67</v>
      </c>
      <c r="F211" s="7" t="inlineStr">
        <is>
          <t>Further research required if this item is used in the project. USER-REQUESTED HYPOTHETICAL EXAMPLE: 200 W (0.2 kW). Illustrative compressor: assumed 1,000 W input with 800 W carried away in compressed air/cooling, leaving 200 W locally; selected energy balance, not a typical fraction. Assumed for illustration, not sourced or project-approved. Sensible/latent split unverified. Need compressor model, real input while loaded/unloaded, pressure, duty and aftercooler location. Separate casing/motor heat from energy carried in discharged compressed air; allocate eventual dissipation to the correct room. Include dryer and receiver losses only if inside the boundary. Motor rating or generic compressor size cannot supply a room-heat number; D/E remain blocked.</t>
        </is>
      </c>
      <c r="G211" s="18" t="s">
        <v>616</v>
      </c>
      <c r="H211" s="19" t="s">
        <v>616</v>
      </c>
      <c r="I211" s="1" t="s">
        <v>617</v>
      </c>
      <c r="J211" s="1" t="s">
        <v>1342</v>
      </c>
      <c r="K211" s="1" t="s">
        <v>1343</v>
      </c>
      <c r="L211" s="11" t="s">
        <v>58</v>
      </c>
      <c r="M211" s="1" t="s">
        <v>621</v>
      </c>
      <c r="N211" s="1" t="s">
        <v>42</v>
      </c>
      <c r="O211" s="1" t="s">
        <v>606</v>
      </c>
      <c r="P211" s="1" t="s">
        <v>486</v>
      </c>
      <c r="Q211" s="1" t="s">
        <v>486</v>
      </c>
      <c r="R211" s="1" t="s">
        <v>235</v>
      </c>
      <c r="S211" s="1" t="s">
        <v>1344</v>
      </c>
      <c r="T211" s="1" t="s">
        <v>617</v>
      </c>
      <c r="U211" s="1" t="s">
        <v>1321</v>
      </c>
      <c r="V211" s="1" t="s">
        <v>200</v>
      </c>
      <c r="W211" s="1" t="s">
        <v>1342</v>
      </c>
      <c r="X211" s="1" t="s">
        <v>48</v>
      </c>
      <c r="Y211" s="1" t="s">
        <v>49</v>
      </c>
      <c r="Z211" s="1" t="s">
        <v>50</v>
      </c>
      <c r="AA211" s="16">
        <v>200.0</v>
      </c>
      <c r="AB211" s="16">
        <f t="shared" si="2"/>
        <v>0.2</v>
      </c>
      <c r="AC211" s="17" t="s">
        <v>623</v>
      </c>
      <c r="AD211" s="17" t="inlineStr">
        <is>
          <t>Further research required if this item is used in the project. Illustrative compressor: assumed 1,000 W input with 800 W carried away in compressed air/cooling, leaving 200 W locally; selected energy balance, not a typical fraction. REQUIRED: Need compressor model, real input while loaded/unloaded, pressure, duty and aftercooler location. Separate casing/motor heat from energy carried in discharged compressed air; allocate eventual dissipation to the correct room. Include dryer and receiver losses only if inside the boundary. Motor rating or generic compressor size cannot supply a room-heat number; D/E remain blocked.</t>
        </is>
      </c>
      <c r="AE211" s="97" t="str">
        <v>EQ-0206</v>
      </c>
      <c r="AF211" s="98" t="str">
        <v>laboratory compressor</v>
      </c>
      <c r="AG211" s="98" t="str">
        <v>REFERENCE_ONLY</v>
      </c>
      <c r="AH211" s="98" t="str">
        <v>Do not auto-use reference wattage. Resolve the missing heat data or document a project estimate.</v>
      </c>
    </row>
    <row r="212">
      <c r="A212" s="1" t="s">
        <v>230</v>
      </c>
      <c r="B212" s="1" t="s">
        <v>1346</v>
      </c>
      <c r="C212" s="13" t="s">
        <v>479</v>
      </c>
      <c r="D212" s="14" t="s">
        <v>67</v>
      </c>
      <c r="E212" s="14" t="s">
        <v>67</v>
      </c>
      <c r="F212" s="7" t="inlineStr">
        <is>
          <t>Further research required if this item is used in the project. USER-REQUESTED HYPOTHETICAL EXAMPLE: 100 W (0.1 kW). Illustrative water purifier: assumed 150 W real input minus 50 W exported in water =100 W local heat. Does not resolve the existing W-versus-VA source conflict. Assumed for illustration, not sourced or project-approved. Sensible/latent split unverified. Do not resolve the existing350 W versus350 VA conflict by treating the units as equivalent. Obtain manufacturer clarification or measured real input for the exact Milli-Q IQ7000 and operating mode. Record production/recirculation duty, inlet/outlet water temperature and remote reservoirs. Water can export heat. No confirmed sensible/latent room value; D/E remain blocked.</t>
        </is>
      </c>
      <c r="G212" s="18" t="s">
        <v>616</v>
      </c>
      <c r="H212" s="19" t="s">
        <v>616</v>
      </c>
      <c r="I212" s="1" t="s">
        <v>1348</v>
      </c>
      <c r="J212" s="1" t="s">
        <v>1349</v>
      </c>
      <c r="K212" s="1" t="s">
        <v>1350</v>
      </c>
      <c r="L212" s="11" t="s">
        <v>1351</v>
      </c>
      <c r="M212" s="1" t="s">
        <v>1352</v>
      </c>
      <c r="N212" s="1" t="s">
        <v>42</v>
      </c>
      <c r="O212" s="1" t="s">
        <v>606</v>
      </c>
      <c r="P212" s="1" t="s">
        <v>486</v>
      </c>
      <c r="Q212" s="1" t="s">
        <v>486</v>
      </c>
      <c r="R212" s="1" t="s">
        <v>235</v>
      </c>
      <c r="S212" s="1" t="s">
        <v>1353</v>
      </c>
      <c r="T212" s="1" t="s">
        <v>1348</v>
      </c>
      <c r="U212" s="1" t="s">
        <v>1321</v>
      </c>
      <c r="V212" s="1" t="s">
        <v>200</v>
      </c>
      <c r="W212" s="1" t="s">
        <v>1349</v>
      </c>
      <c r="X212" s="1" t="s">
        <v>48</v>
      </c>
      <c r="Y212" s="1" t="s">
        <v>49</v>
      </c>
      <c r="Z212" s="1" t="s">
        <v>50</v>
      </c>
      <c r="AA212" s="16">
        <v>100.0</v>
      </c>
      <c r="AB212" s="16">
        <f t="shared" si="2"/>
        <v>0.1</v>
      </c>
      <c r="AC212" s="17" t="s">
        <v>623</v>
      </c>
      <c r="AD212" s="17" t="inlineStr">
        <is>
          <t>Further research required if this item is used in the project. Illustrative water purifier: assumed 150 W real input minus 50 W exported in water =100 W local heat. Does not resolve the existing W-versus-VA source conflict. REQUIRED: Do not resolve the existing350 W versus350 VA conflict by treating the units as equivalent. Obtain manufacturer clarification or measured real input for the exact Milli-Q IQ7000 and operating mode. Record production/recirculation duty, inlet/outlet water temperature and remote reservoirs. Water can export heat. No confirmed sensible/latent room value; D/E remain blocked.</t>
        </is>
      </c>
      <c r="AE212" s="97" t="str">
        <v>EQ-0207</v>
      </c>
      <c r="AF212" s="98" t="str">
        <v>purified water system</v>
      </c>
      <c r="AG212" s="98" t="str">
        <v>REFERENCE_ONLY</v>
      </c>
      <c r="AH212" s="98" t="str">
        <v>Do not auto-use reference wattage. Resolve the missing heat data or document a project estimate.</v>
      </c>
    </row>
    <row r="213">
      <c r="A213" s="1" t="s">
        <v>1355</v>
      </c>
      <c r="B213" s="1" t="s">
        <v>1356</v>
      </c>
      <c r="C213" s="13" t="s">
        <v>53</v>
      </c>
      <c r="D213" s="14">
        <v>1050.0</v>
      </c>
      <c r="E213" s="14">
        <v>0.0</v>
      </c>
      <c r="F213" s="13" t="s">
        <v>1357</v>
      </c>
      <c r="G213" s="18">
        <v>1050.0</v>
      </c>
      <c r="H213" s="19">
        <f t="shared" ref="H213:H219" si="13">G213/1000</f>
        <v>1.05</v>
      </c>
      <c r="I213" s="1" t="s">
        <v>1358</v>
      </c>
      <c r="J213" s="1" t="s">
        <v>1359</v>
      </c>
      <c r="K213" s="1" t="s">
        <v>1360</v>
      </c>
      <c r="L213" s="11" t="s">
        <v>943</v>
      </c>
      <c r="M213" s="1" t="s">
        <v>459</v>
      </c>
      <c r="N213" s="1" t="s">
        <v>42</v>
      </c>
      <c r="O213" s="1" t="s">
        <v>606</v>
      </c>
      <c r="P213" s="1" t="s">
        <v>486</v>
      </c>
      <c r="Q213" s="1" t="s">
        <v>486</v>
      </c>
      <c r="R213" s="1" t="s">
        <v>1361</v>
      </c>
      <c r="S213" s="1" t="s">
        <v>1362</v>
      </c>
      <c r="T213" s="1" t="s">
        <v>1358</v>
      </c>
      <c r="U213" s="1" t="s">
        <v>608</v>
      </c>
      <c r="V213" s="1" t="s">
        <v>46</v>
      </c>
      <c r="W213" s="1" t="s">
        <v>47</v>
      </c>
      <c r="X213" s="1" t="s">
        <v>48</v>
      </c>
      <c r="Y213" s="1" t="s">
        <v>49</v>
      </c>
      <c r="Z213" s="1" t="s">
        <v>50</v>
      </c>
      <c r="AA213" s="12">
        <v>1050.0</v>
      </c>
      <c r="AB213" s="12">
        <f t="shared" si="2"/>
        <v>1.05</v>
      </c>
      <c r="AC213" s="13" t="s">
        <v>51</v>
      </c>
      <c r="AD213" s="13" t="s">
        <v>1357</v>
      </c>
      <c r="AE213" s="97" t="str">
        <v>EQ-0208</v>
      </c>
      <c r="AF213" s="98" t="str">
        <v>ultrasound machine</v>
      </c>
      <c r="AG213" s="98" t="str">
        <v>CONDITIONAL_MATCH</v>
      </c>
      <c r="AH213" s="98" t="str">
        <v>Match model or supported analogue, operating state, room allocation and all conditions in F. Use D/E only.</v>
      </c>
    </row>
    <row r="214">
      <c r="A214" s="1" t="s">
        <v>1355</v>
      </c>
      <c r="B214" s="1" t="s">
        <v>1363</v>
      </c>
      <c r="C214" s="13" t="s">
        <v>53</v>
      </c>
      <c r="D214" s="14">
        <v>480.0</v>
      </c>
      <c r="E214" s="14">
        <v>0.0</v>
      </c>
      <c r="F214" s="13" t="s">
        <v>1364</v>
      </c>
      <c r="G214" s="18">
        <v>480.0</v>
      </c>
      <c r="H214" s="19">
        <f t="shared" si="13"/>
        <v>0.48</v>
      </c>
      <c r="I214" s="1" t="s">
        <v>1358</v>
      </c>
      <c r="J214" s="1" t="s">
        <v>1359</v>
      </c>
      <c r="K214" s="1" t="s">
        <v>1365</v>
      </c>
      <c r="L214" s="11" t="s">
        <v>943</v>
      </c>
      <c r="M214" s="1" t="s">
        <v>459</v>
      </c>
      <c r="N214" s="1" t="s">
        <v>42</v>
      </c>
      <c r="O214" s="1" t="s">
        <v>606</v>
      </c>
      <c r="P214" s="1" t="s">
        <v>486</v>
      </c>
      <c r="Q214" s="1" t="s">
        <v>486</v>
      </c>
      <c r="R214" s="1" t="s">
        <v>1361</v>
      </c>
      <c r="S214" s="1" t="s">
        <v>1366</v>
      </c>
      <c r="T214" s="1" t="s">
        <v>1358</v>
      </c>
      <c r="U214" s="1" t="s">
        <v>608</v>
      </c>
      <c r="V214" s="1" t="s">
        <v>46</v>
      </c>
      <c r="W214" s="1" t="s">
        <v>47</v>
      </c>
      <c r="X214" s="1" t="s">
        <v>48</v>
      </c>
      <c r="Y214" s="1" t="s">
        <v>49</v>
      </c>
      <c r="Z214" s="1" t="s">
        <v>50</v>
      </c>
      <c r="AA214" s="12">
        <v>480.0</v>
      </c>
      <c r="AB214" s="12">
        <f t="shared" si="2"/>
        <v>0.48</v>
      </c>
      <c r="AC214" s="13" t="s">
        <v>51</v>
      </c>
      <c r="AD214" s="13" t="s">
        <v>1364</v>
      </c>
      <c r="AE214" s="97" t="str">
        <v>EQ-0209</v>
      </c>
      <c r="AF214" s="98" t="str">
        <v>x-ray equipment</v>
      </c>
      <c r="AG214" s="98" t="str">
        <v>CONDITIONAL_MATCH</v>
      </c>
      <c r="AH214" s="98" t="str">
        <v>Match model or supported analogue, operating state, room allocation and all conditions in F. Use D/E only.</v>
      </c>
    </row>
    <row r="215">
      <c r="A215" s="1" t="s">
        <v>1355</v>
      </c>
      <c r="B215" s="1" t="s">
        <v>1367</v>
      </c>
      <c r="C215" s="13" t="s">
        <v>1368</v>
      </c>
      <c r="D215" s="14" t="s">
        <v>67</v>
      </c>
      <c r="E215" s="14" t="s">
        <v>67</v>
      </c>
      <c r="F215" s="7" t="inlineStr">
        <is>
          <t>Further research required if this item is used in the project. NUMERIC EXAMPLE: 8500 W (8.5 kW); EXISTING REFERENCE — scope/state limits apply.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t>
        </is>
      </c>
      <c r="G215" s="18">
        <v>8500.0</v>
      </c>
      <c r="H215" s="19">
        <f t="shared" si="13"/>
        <v>8.5</v>
      </c>
      <c r="I215" s="1" t="s">
        <v>1370</v>
      </c>
      <c r="J215" s="1" t="s">
        <v>1371</v>
      </c>
      <c r="K215" s="1" t="s">
        <v>1372</v>
      </c>
      <c r="L215" s="11" t="s">
        <v>1373</v>
      </c>
      <c r="M215" s="1" t="s">
        <v>524</v>
      </c>
      <c r="N215" s="1" t="s">
        <v>42</v>
      </c>
      <c r="O215" s="1" t="s">
        <v>606</v>
      </c>
      <c r="P215" s="1" t="s">
        <v>68</v>
      </c>
      <c r="Q215" s="1" t="s">
        <v>68</v>
      </c>
      <c r="R215" s="1" t="s">
        <v>1361</v>
      </c>
      <c r="S215" s="1" t="s">
        <v>1374</v>
      </c>
      <c r="T215" s="1" t="s">
        <v>1370</v>
      </c>
      <c r="U215" s="1" t="s">
        <v>1321</v>
      </c>
      <c r="V215" s="1" t="s">
        <v>200</v>
      </c>
      <c r="W215" s="1" t="s">
        <v>1371</v>
      </c>
      <c r="X215" s="1" t="s">
        <v>48</v>
      </c>
      <c r="Y215" s="1" t="s">
        <v>49</v>
      </c>
      <c r="Z215" s="1" t="s">
        <v>50</v>
      </c>
      <c r="AA215" s="16">
        <v>8500.0</v>
      </c>
      <c r="AB215" s="16">
        <f t="shared" si="2"/>
        <v>8.5</v>
      </c>
      <c r="AC215" s="17" t="s">
        <v>201</v>
      </c>
      <c r="AD215" s="17" t="inlineStr">
        <is>
          <t>Further research required if this item is used in the project. Published system heat-dissipation allowance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 This retains the original reference, including any unresolved source limitations; it is not newly validated net room heat. REQUIRED: 8500 W is an existing system-level CT reference, not a scan-room allowance. Obtain the installed SOMATOM Perspective site plan and heat schedules for gantry, cabinets, console, cooling plant and each operating mode. Assign air-cooled versus water-cooled heat to actual locations. Do not add whole-system heat to every room or infer heat from X-ray generator kW. D/E remain blocked.</t>
        </is>
      </c>
      <c r="AE215" s="97" t="str">
        <v>EQ-0210</v>
      </c>
      <c r="AF215" s="98" t="str">
        <v>ct scanner</v>
      </c>
      <c r="AG215" s="98" t="str">
        <v>REFERENCE_ONLY</v>
      </c>
      <c r="AH215" s="98" t="str">
        <v>Do not auto-use reference wattage. Resolve the missing heat data or document a project estimate.</v>
      </c>
    </row>
    <row r="216">
      <c r="A216" s="1" t="s">
        <v>1355</v>
      </c>
      <c r="B216" s="1" t="s">
        <v>1376</v>
      </c>
      <c r="C216" s="13" t="s">
        <v>243</v>
      </c>
      <c r="D216" s="14" t="s">
        <v>67</v>
      </c>
      <c r="E216" s="14" t="s">
        <v>67</v>
      </c>
      <c r="F216" s="7" t="inlineStr">
        <is>
          <t>Further research required if this item is used in the project. NUMERIC EXAMPLE: 1000 W (1 kW); EXISTING REFERENCE — scope/state limits apply.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t>
        </is>
      </c>
      <c r="G216" s="18">
        <v>1000.0</v>
      </c>
      <c r="H216" s="19">
        <f t="shared" si="13"/>
        <v>1</v>
      </c>
      <c r="I216" s="1" t="s">
        <v>1378</v>
      </c>
      <c r="J216" s="1" t="s">
        <v>1379</v>
      </c>
      <c r="K216" s="1" t="s">
        <v>1380</v>
      </c>
      <c r="L216" s="11" t="s">
        <v>1381</v>
      </c>
      <c r="M216" s="1" t="s">
        <v>778</v>
      </c>
      <c r="N216" s="1" t="s">
        <v>42</v>
      </c>
      <c r="O216" s="1" t="s">
        <v>606</v>
      </c>
      <c r="P216" s="1">
        <v>1000.0</v>
      </c>
      <c r="Q216" s="1">
        <v>0.0</v>
      </c>
      <c r="R216" s="1" t="s">
        <v>1361</v>
      </c>
      <c r="S216" s="1" t="s">
        <v>1382</v>
      </c>
      <c r="T216" s="1" t="s">
        <v>1378</v>
      </c>
      <c r="U216" s="1" t="s">
        <v>1321</v>
      </c>
      <c r="V216" s="1" t="s">
        <v>200</v>
      </c>
      <c r="W216" s="1" t="s">
        <v>1379</v>
      </c>
      <c r="X216" s="1" t="s">
        <v>48</v>
      </c>
      <c r="Y216" s="1" t="s">
        <v>49</v>
      </c>
      <c r="Z216" s="1" t="s">
        <v>50</v>
      </c>
      <c r="AA216" s="16">
        <v>1000.0</v>
      </c>
      <c r="AB216" s="16">
        <f t="shared" si="2"/>
        <v>1</v>
      </c>
      <c r="AC216" s="17" t="s">
        <v>201</v>
      </c>
      <c r="AD216" s="17" t="inlineStr">
        <is>
          <t>Further research required if this item is used in the project. Published magnet heat to air; measurement-dependent planning reference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 This retains the original reference, including any unresolved source limitations; it is not newly validated net room heat. REQUIRED: 1000 W is the existing Free.Max magnet-to-air contribution only, not the complete MRI room/suite. Use the installed planning document to locate RF filter plate, console, technical cabinet and water-cooling equipment. Allocate each contribution once and confirm scan/standby state. Do not put technical-room heat or chiller rejection into the magnet room. D/E remain blocked for the complete system.</t>
        </is>
      </c>
      <c r="AE216" s="97" t="str">
        <v>EQ-0211</v>
      </c>
      <c r="AF216" s="98" t="str">
        <v>mri scanner</v>
      </c>
      <c r="AG216" s="98" t="str">
        <v>REFERENCE_ONLY</v>
      </c>
      <c r="AH216" s="98" t="str">
        <v>Do not auto-use reference wattage. Resolve the missing heat data or document a project estimate.</v>
      </c>
    </row>
    <row r="217">
      <c r="A217" s="1" t="s">
        <v>1355</v>
      </c>
      <c r="B217" s="1" t="s">
        <v>1384</v>
      </c>
      <c r="C217" s="13" t="s">
        <v>87</v>
      </c>
      <c r="D217" s="14">
        <v>21.0</v>
      </c>
      <c r="E217" s="14">
        <v>0.0</v>
      </c>
      <c r="F217" s="13" t="s">
        <v>1385</v>
      </c>
      <c r="G217" s="18">
        <v>21.0</v>
      </c>
      <c r="H217" s="19">
        <f t="shared" si="13"/>
        <v>0.021</v>
      </c>
      <c r="I217" s="1" t="s">
        <v>1386</v>
      </c>
      <c r="J217" s="1" t="s">
        <v>1387</v>
      </c>
      <c r="K217" s="1" t="s">
        <v>1388</v>
      </c>
      <c r="L217" s="11" t="s">
        <v>1389</v>
      </c>
      <c r="M217" s="1" t="s">
        <v>459</v>
      </c>
      <c r="N217" s="1" t="s">
        <v>42</v>
      </c>
      <c r="O217" s="1">
        <v>21.0</v>
      </c>
      <c r="P217" s="1">
        <v>21.0</v>
      </c>
      <c r="Q217" s="1">
        <v>0.0</v>
      </c>
      <c r="R217" s="1" t="s">
        <v>1361</v>
      </c>
      <c r="S217" s="1" t="s">
        <v>1390</v>
      </c>
      <c r="T217" s="1" t="s">
        <v>1386</v>
      </c>
      <c r="U217" s="1" t="s">
        <v>461</v>
      </c>
      <c r="V217" s="1" t="s">
        <v>46</v>
      </c>
      <c r="W217" s="1" t="s">
        <v>47</v>
      </c>
      <c r="X217" s="1" t="s">
        <v>100</v>
      </c>
      <c r="Y217" s="1" t="s">
        <v>122</v>
      </c>
      <c r="Z217" s="1" t="s">
        <v>50</v>
      </c>
      <c r="AA217" s="12">
        <v>21.0</v>
      </c>
      <c r="AB217" s="12">
        <f t="shared" si="2"/>
        <v>0.021</v>
      </c>
      <c r="AC217" s="13" t="s">
        <v>51</v>
      </c>
      <c r="AD217" s="13" t="s">
        <v>1385</v>
      </c>
      <c r="AE217" s="97" t="str">
        <v>EQ-0212</v>
      </c>
      <c r="AF217" s="98" t="str">
        <v>medical examination light</v>
      </c>
      <c r="AG217" s="98" t="str">
        <v>CONDITIONAL_MATCH</v>
      </c>
      <c r="AH217" s="98" t="str">
        <v>Match model or supported analogue, operating state, room allocation and all conditions in F. Use D/E only.</v>
      </c>
    </row>
    <row r="218">
      <c r="A218" s="1" t="s">
        <v>1355</v>
      </c>
      <c r="B218" s="1" t="s">
        <v>1391</v>
      </c>
      <c r="C218" s="13" t="s">
        <v>53</v>
      </c>
      <c r="D218" s="14">
        <v>50.0</v>
      </c>
      <c r="E218" s="14">
        <v>0.0</v>
      </c>
      <c r="F218" s="13" t="s">
        <v>1392</v>
      </c>
      <c r="G218" s="18">
        <v>50.0</v>
      </c>
      <c r="H218" s="19">
        <f t="shared" si="13"/>
        <v>0.05</v>
      </c>
      <c r="I218" s="1" t="s">
        <v>1358</v>
      </c>
      <c r="J218" s="1" t="s">
        <v>1359</v>
      </c>
      <c r="K218" s="1" t="s">
        <v>1393</v>
      </c>
      <c r="L218" s="11" t="s">
        <v>943</v>
      </c>
      <c r="M218" s="1" t="s">
        <v>459</v>
      </c>
      <c r="N218" s="1" t="s">
        <v>42</v>
      </c>
      <c r="O218" s="1" t="s">
        <v>606</v>
      </c>
      <c r="P218" s="1" t="s">
        <v>486</v>
      </c>
      <c r="Q218" s="1" t="s">
        <v>486</v>
      </c>
      <c r="R218" s="1" t="s">
        <v>1361</v>
      </c>
      <c r="S218" s="1" t="s">
        <v>1394</v>
      </c>
      <c r="T218" s="1" t="s">
        <v>1358</v>
      </c>
      <c r="U218" s="1" t="s">
        <v>608</v>
      </c>
      <c r="V218" s="1" t="s">
        <v>46</v>
      </c>
      <c r="W218" s="1" t="s">
        <v>47</v>
      </c>
      <c r="X218" s="1" t="s">
        <v>48</v>
      </c>
      <c r="Y218" s="1" t="s">
        <v>49</v>
      </c>
      <c r="Z218" s="1" t="s">
        <v>50</v>
      </c>
      <c r="AA218" s="12">
        <v>50.0</v>
      </c>
      <c r="AB218" s="12">
        <f t="shared" si="2"/>
        <v>0.05</v>
      </c>
      <c r="AC218" s="13" t="s">
        <v>51</v>
      </c>
      <c r="AD218" s="13" t="s">
        <v>1392</v>
      </c>
      <c r="AE218" s="97" t="str">
        <v>EQ-0213</v>
      </c>
      <c r="AF218" s="98" t="str">
        <v>patient monitoring equipment</v>
      </c>
      <c r="AG218" s="98" t="str">
        <v>CONDITIONAL_MATCH</v>
      </c>
      <c r="AH218" s="98" t="str">
        <v>Match model or supported analogue, operating state, room allocation and all conditions in F. Use D/E only.</v>
      </c>
    </row>
    <row r="219">
      <c r="A219" s="1" t="s">
        <v>1355</v>
      </c>
      <c r="B219" s="1" t="s">
        <v>1395</v>
      </c>
      <c r="C219" s="13" t="s">
        <v>442</v>
      </c>
      <c r="D219" s="14" t="s">
        <v>67</v>
      </c>
      <c r="E219" s="14" t="s">
        <v>67</v>
      </c>
      <c r="F219" s="7" t="inlineStr">
        <is>
          <t>Further research required if this item is used in the project. NUMERIC EXAMPLE: 250 W (0.25 kW); EXISTING REFERENCE — scope/state limits apply.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t>
        </is>
      </c>
      <c r="G219" s="18">
        <v>250.0</v>
      </c>
      <c r="H219" s="19">
        <f t="shared" si="13"/>
        <v>0.25</v>
      </c>
      <c r="I219" s="1" t="s">
        <v>1397</v>
      </c>
      <c r="J219" s="1" t="s">
        <v>1398</v>
      </c>
      <c r="K219" s="1" t="s">
        <v>1399</v>
      </c>
      <c r="L219" s="11" t="s">
        <v>1400</v>
      </c>
      <c r="M219" s="1" t="s">
        <v>1336</v>
      </c>
      <c r="N219" s="1" t="s">
        <v>42</v>
      </c>
      <c r="O219" s="1" t="s">
        <v>1401</v>
      </c>
      <c r="P219" s="1" t="s">
        <v>486</v>
      </c>
      <c r="Q219" s="1" t="s">
        <v>486</v>
      </c>
      <c r="R219" s="1" t="s">
        <v>1361</v>
      </c>
      <c r="S219" s="1" t="s">
        <v>1402</v>
      </c>
      <c r="T219" s="1" t="s">
        <v>1403</v>
      </c>
      <c r="U219" s="1" t="s">
        <v>1321</v>
      </c>
      <c r="V219" s="1" t="s">
        <v>200</v>
      </c>
      <c r="W219" s="1" t="s">
        <v>1398</v>
      </c>
      <c r="X219" s="1" t="s">
        <v>48</v>
      </c>
      <c r="Y219" s="1" t="s">
        <v>49</v>
      </c>
      <c r="Z219" s="1" t="s">
        <v>50</v>
      </c>
      <c r="AA219" s="16">
        <v>250.0</v>
      </c>
      <c r="AB219" s="16">
        <f t="shared" si="2"/>
        <v>0.25</v>
      </c>
      <c r="AC219" s="17" t="s">
        <v>201</v>
      </c>
      <c r="AD219" s="17" t="inlineStr">
        <is>
          <t>Further research required if this item is used in the project. Manufacturer average heat emission: 900 kJ/h ÷ 3.6 = 250 W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 This retains the original reference, including any unresolved source limitations; it is not newly validated net room heat. REQUIRED: 250 W is an existing KaVo E30 average reference, not peak or the whole dental surgery. Confirm manufacturer manual/version and whether included chair, lamp and instruments match the installation. Record clinical duty, water/suction/exhaust paths and separate compressor location. Sensible/latent split is not verified here. D/E remain blocked; do not replace with the historical100–900 W range midpoint.</t>
        </is>
      </c>
      <c r="AE219" s="97" t="str">
        <v>EQ-0214</v>
      </c>
      <c r="AF219" s="98" t="str">
        <v>dental chair and equipment</v>
      </c>
      <c r="AG219" s="98" t="str">
        <v>REFERENCE_ONLY</v>
      </c>
      <c r="AH219" s="98" t="str">
        <v>Do not auto-use reference wattage. Resolve the missing heat data or document a project estimate.</v>
      </c>
    </row>
    <row r="220">
      <c r="A220" s="1" t="s">
        <v>1355</v>
      </c>
      <c r="B220" s="1" t="s">
        <v>1405</v>
      </c>
      <c r="C220" s="13" t="s">
        <v>479</v>
      </c>
      <c r="D220" s="14" t="s">
        <v>67</v>
      </c>
      <c r="E220" s="14" t="s">
        <v>67</v>
      </c>
      <c r="F220" s="7" t="inlineStr">
        <is>
          <t>Further research required if this item is used in the project. USER-REQUESTED HYPOTHETICAL EXAMPLE: 500 W (0.5 kW). Illustrative combined dental compressor/suction assembly: assumed 2,000 W real input minus 1,500 W exported by air/water =500 W local heat; actual duty unknown. Assumed for illustration, not sourced or project-approved. Sensible/latent split unverified. Need actual compressor and suction models, simultaneously occupied chairs, run/load duty, aftercooler and exhaust location. Separate casing heat from energy exported in air, suction exhaust, water and waste. Include separate dryer/receiver only once. A motor kW or number of chairs is insufficient. D/E remain blocked.</t>
        </is>
      </c>
      <c r="G220" s="18" t="s">
        <v>616</v>
      </c>
      <c r="H220" s="19" t="s">
        <v>616</v>
      </c>
      <c r="I220" s="1" t="s">
        <v>617</v>
      </c>
      <c r="J220" s="1" t="s">
        <v>1407</v>
      </c>
      <c r="K220" s="1" t="s">
        <v>1408</v>
      </c>
      <c r="L220" s="11" t="s">
        <v>1409</v>
      </c>
      <c r="M220" s="1" t="s">
        <v>621</v>
      </c>
      <c r="N220" s="1" t="s">
        <v>42</v>
      </c>
      <c r="O220" s="1" t="s">
        <v>606</v>
      </c>
      <c r="P220" s="1" t="s">
        <v>486</v>
      </c>
      <c r="Q220" s="1" t="s">
        <v>486</v>
      </c>
      <c r="R220" s="1" t="s">
        <v>1361</v>
      </c>
      <c r="S220" s="1" t="s">
        <v>1410</v>
      </c>
      <c r="T220" s="1" t="s">
        <v>617</v>
      </c>
      <c r="U220" s="1" t="s">
        <v>1321</v>
      </c>
      <c r="V220" s="1" t="s">
        <v>200</v>
      </c>
      <c r="W220" s="1" t="s">
        <v>1407</v>
      </c>
      <c r="X220" s="1" t="s">
        <v>48</v>
      </c>
      <c r="Y220" s="1" t="s">
        <v>49</v>
      </c>
      <c r="Z220" s="1" t="s">
        <v>50</v>
      </c>
      <c r="AA220" s="16">
        <v>500.0</v>
      </c>
      <c r="AB220" s="16">
        <f t="shared" si="2"/>
        <v>0.5</v>
      </c>
      <c r="AC220" s="17" t="s">
        <v>623</v>
      </c>
      <c r="AD220" s="17" t="inlineStr">
        <is>
          <t>Further research required if this item is used in the project. Illustrative combined dental compressor/suction assembly: assumed 2,000 W real input minus 1,500 W exported by air/water =500 W local heat; actual duty unknown. REQUIRED: Need actual compressor and suction models, simultaneously occupied chairs, run/load duty, aftercooler and exhaust location. Separate casing heat from energy exported in air, suction exhaust, water and waste. Include separate dryer/receiver only once. A motor kW or number of chairs is insufficient. D/E remain blocked.</t>
        </is>
      </c>
      <c r="AE220" s="97" t="str">
        <v>EQ-0215</v>
      </c>
      <c r="AF220" s="98" t="str">
        <v>dental compressor / suction unit</v>
      </c>
      <c r="AG220" s="98" t="str">
        <v>REFERENCE_ONLY</v>
      </c>
      <c r="AH220" s="98" t="str">
        <v>Do not auto-use reference wattage. Resolve the missing heat data or document a project estimate.</v>
      </c>
    </row>
    <row r="221">
      <c r="A221" s="1" t="s">
        <v>1355</v>
      </c>
      <c r="B221" s="1" t="s">
        <v>1412</v>
      </c>
      <c r="C221" s="13" t="s">
        <v>194</v>
      </c>
      <c r="D221" s="14" t="s">
        <v>67</v>
      </c>
      <c r="E221" s="14" t="s">
        <v>67</v>
      </c>
      <c r="F221" s="7" t="inlineStr">
        <is>
          <t>Further research required if this item is used in the project. NUMERIC EXAMPLE: 134.81 W (0.13481 kW); EXISTING REFERENCE — scope/state limits apply.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t>
        </is>
      </c>
      <c r="G221" s="18">
        <v>134.81</v>
      </c>
      <c r="H221" s="19">
        <f t="shared" ref="H221:H230" si="14">G221/1000</f>
        <v>0.13481</v>
      </c>
      <c r="I221" s="1" t="s">
        <v>1414</v>
      </c>
      <c r="J221" s="1" t="s">
        <v>1415</v>
      </c>
      <c r="K221" s="1" t="s">
        <v>1416</v>
      </c>
      <c r="L221" s="11" t="s">
        <v>1417</v>
      </c>
      <c r="M221" s="1" t="s">
        <v>459</v>
      </c>
      <c r="N221" s="1" t="s">
        <v>42</v>
      </c>
      <c r="O221" s="1" t="s">
        <v>606</v>
      </c>
      <c r="P221" s="1" t="s">
        <v>486</v>
      </c>
      <c r="Q221" s="1" t="s">
        <v>486</v>
      </c>
      <c r="R221" s="1" t="s">
        <v>1361</v>
      </c>
      <c r="S221" s="1" t="s">
        <v>1418</v>
      </c>
      <c r="T221" s="1" t="s">
        <v>1414</v>
      </c>
      <c r="U221" s="1" t="s">
        <v>1321</v>
      </c>
      <c r="V221" s="1" t="s">
        <v>200</v>
      </c>
      <c r="W221" s="1" t="s">
        <v>1415</v>
      </c>
      <c r="X221" s="1" t="s">
        <v>176</v>
      </c>
      <c r="Y221" s="1" t="s">
        <v>189</v>
      </c>
      <c r="Z221" s="1" t="s">
        <v>50</v>
      </c>
      <c r="AA221" s="16">
        <v>134.81</v>
      </c>
      <c r="AB221" s="16">
        <f t="shared" si="2"/>
        <v>0.13481</v>
      </c>
      <c r="AC221" s="17" t="s">
        <v>201</v>
      </c>
      <c r="AD221" s="17" t="inlineStr">
        <is>
          <t>Further research required if this item is used in the project. Manufacturer heat-emission example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 This retains the original reference, including any unresolved source limitations; it is not newly validated net room heat. REQUIRED: 134.81 W is a previously recorded Helmer HPR105-GX rejection reference, not confirmed net room heat. Source access returned403 this pass. Obtain current manufacturer data, ambient/setpoint, door/loading/defrost state and gross-versus-net boundary. No zero-latent assumption accepted yet. Count this physical refrigerator only once across medical, pharmacy and medication categories; D/E remain blocked.</t>
        </is>
      </c>
      <c r="AE221" s="97" t="str">
        <v>EQ-0216</v>
      </c>
      <c r="AF221" s="98" t="str">
        <v>medical refrigerator</v>
      </c>
      <c r="AG221" s="98" t="str">
        <v>REFERENCE_ONLY</v>
      </c>
      <c r="AH221" s="98" t="str">
        <v>Do not auto-use reference wattage. Resolve the missing heat data or document a project estimate.</v>
      </c>
    </row>
    <row r="222">
      <c r="A222" s="1" t="s">
        <v>1355</v>
      </c>
      <c r="B222" s="1" t="s">
        <v>1420</v>
      </c>
      <c r="C222" s="13" t="s">
        <v>442</v>
      </c>
      <c r="D222" s="14" t="s">
        <v>67</v>
      </c>
      <c r="E222" s="14" t="s">
        <v>67</v>
      </c>
      <c r="F222" s="7" t="inlineStr">
        <is>
          <t>Further research required if this item is used in the project. NUMERIC EXAMPLE: 2250 W (2.25 kW); EXISTING REFERENCE — scope/state limits apply.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t>
        </is>
      </c>
      <c r="G222" s="18">
        <v>2250.0</v>
      </c>
      <c r="H222" s="19">
        <f t="shared" si="14"/>
        <v>2.25</v>
      </c>
      <c r="I222" s="1" t="s">
        <v>1422</v>
      </c>
      <c r="J222" s="1" t="s">
        <v>1423</v>
      </c>
      <c r="K222" s="1" t="s">
        <v>1424</v>
      </c>
      <c r="L222" s="11" t="s">
        <v>1267</v>
      </c>
      <c r="M222" s="1" t="s">
        <v>459</v>
      </c>
      <c r="N222" s="1" t="s">
        <v>42</v>
      </c>
      <c r="O222" s="1" t="s">
        <v>606</v>
      </c>
      <c r="P222" s="1" t="s">
        <v>486</v>
      </c>
      <c r="Q222" s="1" t="s">
        <v>486</v>
      </c>
      <c r="R222" s="1" t="s">
        <v>1361</v>
      </c>
      <c r="S222" s="1" t="s">
        <v>1425</v>
      </c>
      <c r="T222" s="1" t="s">
        <v>1422</v>
      </c>
      <c r="U222" s="1" t="s">
        <v>1321</v>
      </c>
      <c r="V222" s="1" t="s">
        <v>200</v>
      </c>
      <c r="W222" s="1" t="s">
        <v>1423</v>
      </c>
      <c r="X222" s="1" t="s">
        <v>48</v>
      </c>
      <c r="Y222" s="1" t="s">
        <v>49</v>
      </c>
      <c r="Z222" s="1" t="s">
        <v>50</v>
      </c>
      <c r="AA222" s="16">
        <v>2250.0</v>
      </c>
      <c r="AB222" s="16">
        <f t="shared" si="2"/>
        <v>2.25</v>
      </c>
      <c r="AC222" s="17" t="s">
        <v>201</v>
      </c>
      <c r="AD222" s="17" t="inlineStr">
        <is>
          <t>Further research required if this item is used in the project. Maximum-load hourly heat emission2.25 kWh per hour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 This retains the original reference, including any unresolved source limitations; it is not newly validated net room heat. REQUIRED: 2250 W is the existing Vacuclave550 total-emission reference; sensible/latent split and installed cycle remain unresolved. Obtain steam/condensate and cooling-water/drain arrangements plus door-opening releases. Same device as the autoclave example: never count twice. Do not substitute rated electrical power or assume zero latent. D/E remain blocked.</t>
        </is>
      </c>
      <c r="AE222" s="97" t="str">
        <v>EQ-0217</v>
      </c>
      <c r="AF222" s="98" t="str">
        <v>medical steriliser</v>
      </c>
      <c r="AG222" s="98" t="str">
        <v>REFERENCE_ONLY</v>
      </c>
      <c r="AH222" s="98" t="str">
        <v>Do not auto-use reference wattage. Resolve the missing heat data or document a project estimate.</v>
      </c>
    </row>
    <row r="223">
      <c r="A223" s="1" t="s">
        <v>1355</v>
      </c>
      <c r="B223" s="1" t="s">
        <v>1427</v>
      </c>
      <c r="C223" s="13" t="s">
        <v>194</v>
      </c>
      <c r="D223" s="14" t="s">
        <v>67</v>
      </c>
      <c r="E223" s="14" t="s">
        <v>67</v>
      </c>
      <c r="F223" s="7" t="inlineStr">
        <is>
          <t>Further research required if this item is used in the project. NUMERIC EXAMPLE: 134.81 W (0.13481 kW); EXISTING REFERENCE — scope/state limits apply.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t>
        </is>
      </c>
      <c r="G223" s="18">
        <v>134.81</v>
      </c>
      <c r="H223" s="19">
        <f t="shared" si="14"/>
        <v>0.13481</v>
      </c>
      <c r="I223" s="1" t="s">
        <v>1414</v>
      </c>
      <c r="J223" s="1" t="s">
        <v>1429</v>
      </c>
      <c r="K223" s="1" t="s">
        <v>1416</v>
      </c>
      <c r="L223" s="11" t="s">
        <v>1417</v>
      </c>
      <c r="M223" s="1" t="s">
        <v>459</v>
      </c>
      <c r="N223" s="1" t="s">
        <v>42</v>
      </c>
      <c r="O223" s="1" t="s">
        <v>606</v>
      </c>
      <c r="P223" s="1" t="s">
        <v>486</v>
      </c>
      <c r="Q223" s="1" t="s">
        <v>486</v>
      </c>
      <c r="R223" s="1" t="s">
        <v>1361</v>
      </c>
      <c r="S223" s="1" t="s">
        <v>1418</v>
      </c>
      <c r="T223" s="1" t="s">
        <v>1414</v>
      </c>
      <c r="U223" s="1" t="s">
        <v>1321</v>
      </c>
      <c r="V223" s="1" t="s">
        <v>200</v>
      </c>
      <c r="W223" s="1" t="s">
        <v>1429</v>
      </c>
      <c r="X223" s="1" t="s">
        <v>176</v>
      </c>
      <c r="Y223" s="1" t="s">
        <v>189</v>
      </c>
      <c r="Z223" s="1" t="s">
        <v>50</v>
      </c>
      <c r="AA223" s="16">
        <v>134.81</v>
      </c>
      <c r="AB223" s="16">
        <f t="shared" si="2"/>
        <v>0.13481</v>
      </c>
      <c r="AC223" s="17" t="s">
        <v>201</v>
      </c>
      <c r="AD223" s="17" t="inlineStr">
        <is>
          <t>Further research required if this item is used in the project. Manufacturer heat-emission example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 This retains the original reference, including any unresolved source limitations; it is not newly validated net room heat. REQUIRED: Same Helmer HPR105-GX reference as medical refrigerator:134.81 W is not automatically net room heat; source returned403 this pass. Confirm actual unit and rejection boundary, room ambient, cabinet setpoint, product loading and moisture. Count one physical unit once across overlapping categories. D/E remain blocked.</t>
        </is>
      </c>
      <c r="AE223" s="97" t="str">
        <v>EQ-0218</v>
      </c>
      <c r="AF223" s="98" t="str">
        <v>pharmacy refrigerator</v>
      </c>
      <c r="AG223" s="98" t="str">
        <v>REFERENCE_ONLY</v>
      </c>
      <c r="AH223" s="98" t="str">
        <v>Do not auto-use reference wattage. Resolve the missing heat data or document a project estimate.</v>
      </c>
    </row>
    <row r="224">
      <c r="A224" s="1" t="s">
        <v>227</v>
      </c>
      <c r="B224" s="1" t="s">
        <v>1431</v>
      </c>
      <c r="C224" s="13" t="s">
        <v>35</v>
      </c>
      <c r="D224" s="14">
        <v>350.0</v>
      </c>
      <c r="E224" s="14">
        <v>0.0</v>
      </c>
      <c r="F224" s="13" t="s">
        <v>1432</v>
      </c>
      <c r="G224" s="18">
        <v>350.0</v>
      </c>
      <c r="H224" s="19">
        <f t="shared" si="14"/>
        <v>0.35</v>
      </c>
      <c r="I224" s="1" t="s">
        <v>1433</v>
      </c>
      <c r="J224" s="1" t="s">
        <v>1434</v>
      </c>
      <c r="K224" s="1" t="s">
        <v>1435</v>
      </c>
      <c r="L224" s="11" t="s">
        <v>1436</v>
      </c>
      <c r="M224" s="1" t="s">
        <v>459</v>
      </c>
      <c r="N224" s="1" t="s">
        <v>42</v>
      </c>
      <c r="O224" s="1">
        <v>350.0</v>
      </c>
      <c r="P224" s="1">
        <v>350.0</v>
      </c>
      <c r="Q224" s="1">
        <v>0.0</v>
      </c>
      <c r="R224" s="1" t="s">
        <v>43</v>
      </c>
      <c r="S224" s="1" t="s">
        <v>1437</v>
      </c>
      <c r="T224" s="1" t="s">
        <v>1433</v>
      </c>
      <c r="U224" s="1" t="s">
        <v>461</v>
      </c>
      <c r="V224" s="1" t="s">
        <v>46</v>
      </c>
      <c r="W224" s="1" t="s">
        <v>47</v>
      </c>
      <c r="X224" s="1" t="s">
        <v>48</v>
      </c>
      <c r="Y224" s="1" t="s">
        <v>49</v>
      </c>
      <c r="Z224" s="1" t="s">
        <v>50</v>
      </c>
      <c r="AA224" s="12">
        <v>350.0</v>
      </c>
      <c r="AB224" s="12">
        <f t="shared" si="2"/>
        <v>0.35</v>
      </c>
      <c r="AC224" s="13" t="s">
        <v>51</v>
      </c>
      <c r="AD224" s="13" t="s">
        <v>1432</v>
      </c>
      <c r="AE224" s="97" t="str">
        <v>EQ-0219</v>
      </c>
      <c r="AF224" s="98" t="str">
        <v>bench grinder</v>
      </c>
      <c r="AG224" s="98" t="str">
        <v>CONDITIONAL_MATCH</v>
      </c>
      <c r="AH224" s="98" t="str">
        <v>Match model or supported analogue, operating state, room allocation and all conditions in F. Use D/E only.</v>
      </c>
    </row>
    <row r="225">
      <c r="A225" s="1" t="s">
        <v>227</v>
      </c>
      <c r="B225" s="1" t="s">
        <v>1438</v>
      </c>
      <c r="C225" s="13" t="s">
        <v>35</v>
      </c>
      <c r="D225" s="14">
        <v>710.0</v>
      </c>
      <c r="E225" s="14">
        <v>0.0</v>
      </c>
      <c r="F225" s="13" t="s">
        <v>1439</v>
      </c>
      <c r="G225" s="18">
        <v>710.0</v>
      </c>
      <c r="H225" s="19">
        <f t="shared" si="14"/>
        <v>0.71</v>
      </c>
      <c r="I225" s="1" t="s">
        <v>1433</v>
      </c>
      <c r="J225" s="1" t="s">
        <v>1440</v>
      </c>
      <c r="K225" s="1" t="s">
        <v>1441</v>
      </c>
      <c r="L225" s="11" t="s">
        <v>1442</v>
      </c>
      <c r="M225" s="1" t="s">
        <v>459</v>
      </c>
      <c r="N225" s="1" t="s">
        <v>42</v>
      </c>
      <c r="O225" s="1">
        <v>710.0</v>
      </c>
      <c r="P225" s="1">
        <v>710.0</v>
      </c>
      <c r="Q225" s="1">
        <v>0.0</v>
      </c>
      <c r="R225" s="1" t="s">
        <v>43</v>
      </c>
      <c r="S225" s="1" t="s">
        <v>1443</v>
      </c>
      <c r="T225" s="1" t="s">
        <v>1433</v>
      </c>
      <c r="U225" s="1" t="s">
        <v>461</v>
      </c>
      <c r="V225" s="1" t="s">
        <v>46</v>
      </c>
      <c r="W225" s="1" t="s">
        <v>47</v>
      </c>
      <c r="X225" s="1" t="s">
        <v>48</v>
      </c>
      <c r="Y225" s="1" t="s">
        <v>49</v>
      </c>
      <c r="Z225" s="1" t="s">
        <v>50</v>
      </c>
      <c r="AA225" s="12">
        <v>710.0</v>
      </c>
      <c r="AB225" s="12">
        <f t="shared" si="2"/>
        <v>0.71</v>
      </c>
      <c r="AC225" s="13" t="s">
        <v>51</v>
      </c>
      <c r="AD225" s="13" t="s">
        <v>1439</v>
      </c>
      <c r="AE225" s="97" t="str">
        <v>EQ-0220</v>
      </c>
      <c r="AF225" s="98" t="str">
        <v>drill press</v>
      </c>
      <c r="AG225" s="98" t="str">
        <v>CONDITIONAL_MATCH</v>
      </c>
      <c r="AH225" s="98" t="str">
        <v>Match model or supported analogue, operating state, room allocation and all conditions in F. Use D/E only.</v>
      </c>
    </row>
    <row r="226">
      <c r="A226" s="1" t="s">
        <v>227</v>
      </c>
      <c r="B226" s="1" t="s">
        <v>1444</v>
      </c>
      <c r="C226" s="13" t="s">
        <v>35</v>
      </c>
      <c r="D226" s="14">
        <v>710.0</v>
      </c>
      <c r="E226" s="14">
        <v>0.0</v>
      </c>
      <c r="F226" s="13" t="s">
        <v>1439</v>
      </c>
      <c r="G226" s="18">
        <v>710.0</v>
      </c>
      <c r="H226" s="19">
        <f t="shared" si="14"/>
        <v>0.71</v>
      </c>
      <c r="I226" s="1" t="s">
        <v>1433</v>
      </c>
      <c r="J226" s="1" t="s">
        <v>1440</v>
      </c>
      <c r="K226" s="1" t="s">
        <v>1441</v>
      </c>
      <c r="L226" s="11" t="s">
        <v>1442</v>
      </c>
      <c r="M226" s="1" t="s">
        <v>459</v>
      </c>
      <c r="N226" s="1" t="s">
        <v>42</v>
      </c>
      <c r="O226" s="1">
        <v>710.0</v>
      </c>
      <c r="P226" s="1">
        <v>710.0</v>
      </c>
      <c r="Q226" s="1">
        <v>0.0</v>
      </c>
      <c r="R226" s="1" t="s">
        <v>43</v>
      </c>
      <c r="S226" s="1" t="s">
        <v>1443</v>
      </c>
      <c r="T226" s="1" t="s">
        <v>1433</v>
      </c>
      <c r="U226" s="1" t="s">
        <v>461</v>
      </c>
      <c r="V226" s="1" t="s">
        <v>46</v>
      </c>
      <c r="W226" s="1" t="s">
        <v>47</v>
      </c>
      <c r="X226" s="1" t="s">
        <v>48</v>
      </c>
      <c r="Y226" s="1" t="s">
        <v>49</v>
      </c>
      <c r="Z226" s="1" t="s">
        <v>50</v>
      </c>
      <c r="AA226" s="12">
        <v>710.0</v>
      </c>
      <c r="AB226" s="12">
        <f t="shared" si="2"/>
        <v>0.71</v>
      </c>
      <c r="AC226" s="13" t="s">
        <v>51</v>
      </c>
      <c r="AD226" s="13" t="s">
        <v>1439</v>
      </c>
      <c r="AE226" s="97" t="str">
        <v>EQ-0221</v>
      </c>
      <c r="AF226" s="98" t="str">
        <v>bench drill</v>
      </c>
      <c r="AG226" s="98" t="str">
        <v>CONDITIONAL_MATCH</v>
      </c>
      <c r="AH226" s="98" t="str">
        <v>Match model or supported analogue, operating state, room allocation and all conditions in F. Use D/E only.</v>
      </c>
    </row>
    <row r="227">
      <c r="A227" s="1" t="s">
        <v>227</v>
      </c>
      <c r="B227" s="1" t="s">
        <v>1445</v>
      </c>
      <c r="C227" s="13" t="s">
        <v>87</v>
      </c>
      <c r="D227" s="14">
        <v>19.0</v>
      </c>
      <c r="E227" s="14">
        <v>0.0</v>
      </c>
      <c r="F227" s="13" t="s">
        <v>1446</v>
      </c>
      <c r="G227" s="18">
        <v>19.0</v>
      </c>
      <c r="H227" s="19">
        <f t="shared" si="14"/>
        <v>0.019</v>
      </c>
      <c r="I227" s="1" t="s">
        <v>1447</v>
      </c>
      <c r="J227" s="1" t="s">
        <v>1448</v>
      </c>
      <c r="K227" s="1" t="s">
        <v>1449</v>
      </c>
      <c r="L227" s="11" t="s">
        <v>943</v>
      </c>
      <c r="M227" s="1" t="s">
        <v>459</v>
      </c>
      <c r="N227" s="1" t="s">
        <v>42</v>
      </c>
      <c r="O227" s="1" t="s">
        <v>606</v>
      </c>
      <c r="P227" s="1" t="s">
        <v>486</v>
      </c>
      <c r="Q227" s="1" t="s">
        <v>486</v>
      </c>
      <c r="R227" s="1" t="s">
        <v>43</v>
      </c>
      <c r="S227" s="1" t="s">
        <v>1450</v>
      </c>
      <c r="T227" s="1" t="s">
        <v>1447</v>
      </c>
      <c r="U227" s="1" t="s">
        <v>1451</v>
      </c>
      <c r="V227" s="1" t="s">
        <v>46</v>
      </c>
      <c r="W227" s="1" t="s">
        <v>47</v>
      </c>
      <c r="X227" s="1" t="s">
        <v>398</v>
      </c>
      <c r="Y227" s="1" t="s">
        <v>399</v>
      </c>
      <c r="Z227" s="1" t="s">
        <v>50</v>
      </c>
      <c r="AA227" s="12">
        <v>19.0</v>
      </c>
      <c r="AB227" s="12">
        <f t="shared" si="2"/>
        <v>0.019</v>
      </c>
      <c r="AC227" s="13" t="s">
        <v>51</v>
      </c>
      <c r="AD227" s="13" t="s">
        <v>1446</v>
      </c>
      <c r="AE227" s="97" t="str">
        <v>EQ-0222</v>
      </c>
      <c r="AF227" s="98" t="str">
        <v>cordless tool charging station</v>
      </c>
      <c r="AG227" s="98" t="str">
        <v>CONDITIONAL_MATCH</v>
      </c>
      <c r="AH227" s="98" t="str">
        <v>Match model or supported analogue, operating state, room allocation and all conditions in F. Use D/E only.</v>
      </c>
    </row>
    <row r="228">
      <c r="A228" s="1" t="s">
        <v>227</v>
      </c>
      <c r="B228" s="1" t="s">
        <v>1452</v>
      </c>
      <c r="C228" s="13" t="s">
        <v>35</v>
      </c>
      <c r="D228" s="14">
        <v>110.0</v>
      </c>
      <c r="E228" s="14">
        <v>0.0</v>
      </c>
      <c r="F228" s="13" t="s">
        <v>1453</v>
      </c>
      <c r="G228" s="18">
        <v>110.0</v>
      </c>
      <c r="H228" s="19">
        <f t="shared" si="14"/>
        <v>0.11</v>
      </c>
      <c r="I228" s="1" t="s">
        <v>1433</v>
      </c>
      <c r="J228" s="1" t="s">
        <v>1454</v>
      </c>
      <c r="K228" s="1" t="s">
        <v>1455</v>
      </c>
      <c r="L228" s="11" t="s">
        <v>1456</v>
      </c>
      <c r="M228" s="1" t="s">
        <v>459</v>
      </c>
      <c r="N228" s="1" t="s">
        <v>42</v>
      </c>
      <c r="O228" s="1">
        <v>110.0</v>
      </c>
      <c r="P228" s="1">
        <v>110.0</v>
      </c>
      <c r="Q228" s="1">
        <v>0.0</v>
      </c>
      <c r="R228" s="1" t="s">
        <v>43</v>
      </c>
      <c r="S228" s="1" t="s">
        <v>1457</v>
      </c>
      <c r="T228" s="1" t="s">
        <v>1433</v>
      </c>
      <c r="U228" s="1" t="s">
        <v>461</v>
      </c>
      <c r="V228" s="1" t="s">
        <v>46</v>
      </c>
      <c r="W228" s="1" t="s">
        <v>47</v>
      </c>
      <c r="X228" s="1" t="s">
        <v>48</v>
      </c>
      <c r="Y228" s="1" t="s">
        <v>49</v>
      </c>
      <c r="Z228" s="1" t="s">
        <v>50</v>
      </c>
      <c r="AA228" s="12">
        <v>110.0</v>
      </c>
      <c r="AB228" s="12">
        <f t="shared" si="2"/>
        <v>0.11</v>
      </c>
      <c r="AC228" s="13" t="s">
        <v>51</v>
      </c>
      <c r="AD228" s="13" t="s">
        <v>1453</v>
      </c>
      <c r="AE228" s="97" t="str">
        <v>EQ-0223</v>
      </c>
      <c r="AF228" s="98" t="str">
        <v>soldering fume extractor</v>
      </c>
      <c r="AG228" s="98" t="str">
        <v>CONDITIONAL_MATCH</v>
      </c>
      <c r="AH228" s="98" t="str">
        <v>Match model or supported analogue, operating state, room allocation and all conditions in F. Use D/E only.</v>
      </c>
    </row>
    <row r="229">
      <c r="A229" s="1" t="s">
        <v>227</v>
      </c>
      <c r="B229" s="1" t="s">
        <v>1458</v>
      </c>
      <c r="C229" s="13" t="s">
        <v>129</v>
      </c>
      <c r="D229" s="14">
        <v>15.0</v>
      </c>
      <c r="E229" s="14">
        <v>0.0</v>
      </c>
      <c r="F229" s="13" t="s">
        <v>1459</v>
      </c>
      <c r="G229" s="18">
        <v>15.0</v>
      </c>
      <c r="H229" s="19">
        <f t="shared" si="14"/>
        <v>0.015</v>
      </c>
      <c r="I229" s="1" t="s">
        <v>1460</v>
      </c>
      <c r="J229" s="1" t="s">
        <v>1461</v>
      </c>
      <c r="K229" s="1" t="s">
        <v>1462</v>
      </c>
      <c r="L229" s="11" t="s">
        <v>1463</v>
      </c>
      <c r="M229" s="1" t="s">
        <v>778</v>
      </c>
      <c r="N229" s="1" t="s">
        <v>42</v>
      </c>
      <c r="O229" s="1">
        <v>15.0</v>
      </c>
      <c r="P229" s="1">
        <v>15.0</v>
      </c>
      <c r="Q229" s="1">
        <v>0.0</v>
      </c>
      <c r="R229" s="1" t="s">
        <v>43</v>
      </c>
      <c r="S229" s="1" t="s">
        <v>1464</v>
      </c>
      <c r="T229" s="1" t="s">
        <v>1460</v>
      </c>
      <c r="U229" s="1" t="s">
        <v>780</v>
      </c>
      <c r="V229" s="1" t="s">
        <v>46</v>
      </c>
      <c r="W229" s="1" t="s">
        <v>47</v>
      </c>
      <c r="X229" s="1" t="s">
        <v>48</v>
      </c>
      <c r="Y229" s="1" t="s">
        <v>49</v>
      </c>
      <c r="Z229" s="1" t="s">
        <v>50</v>
      </c>
      <c r="AA229" s="12">
        <v>15.0</v>
      </c>
      <c r="AB229" s="12">
        <f t="shared" si="2"/>
        <v>0.015</v>
      </c>
      <c r="AC229" s="13" t="s">
        <v>51</v>
      </c>
      <c r="AD229" s="13" t="s">
        <v>1459</v>
      </c>
      <c r="AE229" s="97" t="str">
        <v>EQ-0224</v>
      </c>
      <c r="AF229" s="98" t="str">
        <v>welding machine</v>
      </c>
      <c r="AG229" s="98" t="str">
        <v>CONDITIONAL_MATCH</v>
      </c>
      <c r="AH229" s="98" t="str">
        <v>Match model or supported analogue, operating state, room allocation and all conditions in F. Use D/E only.</v>
      </c>
    </row>
    <row r="230">
      <c r="A230" s="1" t="s">
        <v>227</v>
      </c>
      <c r="B230" s="1" t="s">
        <v>1465</v>
      </c>
      <c r="C230" s="13" t="s">
        <v>129</v>
      </c>
      <c r="D230" s="14">
        <v>11.0</v>
      </c>
      <c r="E230" s="14">
        <v>0.0</v>
      </c>
      <c r="F230" s="13" t="s">
        <v>1466</v>
      </c>
      <c r="G230" s="18">
        <v>11.0</v>
      </c>
      <c r="H230" s="19">
        <f t="shared" si="14"/>
        <v>0.011</v>
      </c>
      <c r="I230" s="1" t="s">
        <v>1467</v>
      </c>
      <c r="J230" s="1" t="s">
        <v>1468</v>
      </c>
      <c r="K230" s="1" t="s">
        <v>1469</v>
      </c>
      <c r="L230" s="11" t="s">
        <v>1470</v>
      </c>
      <c r="M230" s="1" t="s">
        <v>778</v>
      </c>
      <c r="N230" s="1" t="s">
        <v>42</v>
      </c>
      <c r="O230" s="1">
        <v>11.0</v>
      </c>
      <c r="P230" s="1">
        <v>11.0</v>
      </c>
      <c r="Q230" s="1">
        <v>0.0</v>
      </c>
      <c r="R230" s="1" t="s">
        <v>43</v>
      </c>
      <c r="S230" s="1" t="s">
        <v>1471</v>
      </c>
      <c r="T230" s="1" t="s">
        <v>1467</v>
      </c>
      <c r="U230" s="1" t="s">
        <v>780</v>
      </c>
      <c r="V230" s="1" t="s">
        <v>46</v>
      </c>
      <c r="W230" s="1" t="s">
        <v>47</v>
      </c>
      <c r="X230" s="1" t="s">
        <v>48</v>
      </c>
      <c r="Y230" s="1" t="s">
        <v>49</v>
      </c>
      <c r="Z230" s="1" t="s">
        <v>50</v>
      </c>
      <c r="AA230" s="12">
        <v>11.0</v>
      </c>
      <c r="AB230" s="12">
        <f t="shared" si="2"/>
        <v>0.011</v>
      </c>
      <c r="AC230" s="13" t="s">
        <v>51</v>
      </c>
      <c r="AD230" s="13" t="s">
        <v>1466</v>
      </c>
      <c r="AE230" s="97" t="str">
        <v>EQ-0225</v>
      </c>
      <c r="AF230" s="98" t="str">
        <v>plasma cutter</v>
      </c>
      <c r="AG230" s="98" t="str">
        <v>CONDITIONAL_MATCH</v>
      </c>
      <c r="AH230" s="98" t="str">
        <v>Match model or supported analogue, operating state, room allocation and all conditions in F. Use D/E only.</v>
      </c>
    </row>
    <row r="231">
      <c r="A231" s="1" t="s">
        <v>227</v>
      </c>
      <c r="B231" s="1" t="s">
        <v>1472</v>
      </c>
      <c r="C231" s="13" t="s">
        <v>479</v>
      </c>
      <c r="D231" s="14" t="s">
        <v>67</v>
      </c>
      <c r="E231" s="14" t="s">
        <v>67</v>
      </c>
      <c r="F231" s="7" t="inlineStr">
        <is>
          <t>Further research required if this item is used in the project. USER-REQUESTED HYPOTHETICAL EXAMPLE: 2000 W (2 kW). Illustrative CNC router: assumed 3,000 W average real input minus 1,000 W heat/work exported in chips, coolant and exhaust =2,000 W local total heat. Assumed for illustration, not sourced or project-approved. Sensible/latent split unverified. Need CNC router model and time-resolved input for spindle, axes, drives, controls and auxiliaries. Identify chip/material heat exported, extraction and remote cooling. Spindle shaft-output kW is not whole-machine electrical input or local heat. Base the design hour on actual machining/idle duty; do not add drive losses twice. D/E remain blocked.</t>
        </is>
      </c>
      <c r="G231" s="18" t="s">
        <v>616</v>
      </c>
      <c r="H231" s="19" t="s">
        <v>616</v>
      </c>
      <c r="I231" s="1" t="s">
        <v>617</v>
      </c>
      <c r="J231" s="1" t="s">
        <v>1474</v>
      </c>
      <c r="K231" s="1" t="s">
        <v>1475</v>
      </c>
      <c r="L231" s="11" t="s">
        <v>58</v>
      </c>
      <c r="M231" s="1" t="s">
        <v>621</v>
      </c>
      <c r="N231" s="1" t="s">
        <v>42</v>
      </c>
      <c r="O231" s="1" t="s">
        <v>606</v>
      </c>
      <c r="P231" s="1" t="s">
        <v>486</v>
      </c>
      <c r="Q231" s="1" t="s">
        <v>486</v>
      </c>
      <c r="R231" s="1" t="s">
        <v>43</v>
      </c>
      <c r="S231" s="1" t="s">
        <v>1476</v>
      </c>
      <c r="T231" s="1" t="s">
        <v>617</v>
      </c>
      <c r="U231" s="1" t="s">
        <v>1321</v>
      </c>
      <c r="V231" s="1" t="s">
        <v>200</v>
      </c>
      <c r="W231" s="1" t="s">
        <v>1474</v>
      </c>
      <c r="X231" s="1" t="s">
        <v>174</v>
      </c>
      <c r="Y231" s="1" t="s">
        <v>175</v>
      </c>
      <c r="Z231" s="1" t="s">
        <v>50</v>
      </c>
      <c r="AA231" s="16">
        <v>2000.0</v>
      </c>
      <c r="AB231" s="16">
        <f t="shared" si="2"/>
        <v>2</v>
      </c>
      <c r="AC231" s="17" t="s">
        <v>623</v>
      </c>
      <c r="AD231" s="17" t="inlineStr">
        <is>
          <t>Further research required if this item is used in the project. Illustrative CNC router: assumed 3,000 W average real input minus 1,000 W heat/work exported in chips, coolant and exhaust =2,000 W local total heat. REQUIRED: Need CNC router model and time-resolved input for spindle, axes, drives, controls and auxiliaries. Identify chip/material heat exported, extraction and remote cooling. Spindle shaft-output kW is not whole-machine electrical input or local heat. Base the design hour on actual machining/idle duty; do not add drive losses twice. D/E remain blocked.</t>
        </is>
      </c>
      <c r="AE231" s="97" t="str">
        <v>EQ-0226</v>
      </c>
      <c r="AF231" s="98" t="str">
        <v>cnc router</v>
      </c>
      <c r="AG231" s="98" t="str">
        <v>REFERENCE_ONLY</v>
      </c>
      <c r="AH231" s="98" t="str">
        <v>Do not auto-use reference wattage. Resolve the missing heat data or document a project estimate.</v>
      </c>
    </row>
    <row r="232">
      <c r="A232" s="1" t="s">
        <v>227</v>
      </c>
      <c r="B232" s="1" t="s">
        <v>1478</v>
      </c>
      <c r="C232" s="13" t="s">
        <v>87</v>
      </c>
      <c r="D232" s="14">
        <v>95.0</v>
      </c>
      <c r="E232" s="14">
        <v>0.0</v>
      </c>
      <c r="F232" s="13" t="s">
        <v>1479</v>
      </c>
      <c r="G232" s="18">
        <v>95.0</v>
      </c>
      <c r="H232" s="19">
        <f>G232/1000</f>
        <v>0.095</v>
      </c>
      <c r="I232" s="1" t="s">
        <v>1480</v>
      </c>
      <c r="J232" s="1" t="s">
        <v>1481</v>
      </c>
      <c r="K232" s="1" t="s">
        <v>1482</v>
      </c>
      <c r="L232" s="11" t="s">
        <v>1483</v>
      </c>
      <c r="M232" s="1" t="s">
        <v>459</v>
      </c>
      <c r="N232" s="1" t="s">
        <v>42</v>
      </c>
      <c r="O232" s="1">
        <v>95.0</v>
      </c>
      <c r="P232" s="1">
        <v>95.0</v>
      </c>
      <c r="Q232" s="1">
        <v>0.0</v>
      </c>
      <c r="R232" s="1" t="s">
        <v>43</v>
      </c>
      <c r="S232" s="1" t="s">
        <v>1484</v>
      </c>
      <c r="T232" s="1" t="s">
        <v>1480</v>
      </c>
      <c r="U232" s="1" t="s">
        <v>461</v>
      </c>
      <c r="V232" s="1" t="s">
        <v>46</v>
      </c>
      <c r="W232" s="1" t="s">
        <v>47</v>
      </c>
      <c r="X232" s="1" t="s">
        <v>1202</v>
      </c>
      <c r="Y232" s="1" t="s">
        <v>1203</v>
      </c>
      <c r="Z232" s="1" t="s">
        <v>50</v>
      </c>
      <c r="AA232" s="12">
        <v>95.0</v>
      </c>
      <c r="AB232" s="12">
        <f t="shared" si="2"/>
        <v>0.095</v>
      </c>
      <c r="AC232" s="13" t="s">
        <v>51</v>
      </c>
      <c r="AD232" s="13" t="s">
        <v>1479</v>
      </c>
      <c r="AE232" s="97" t="str">
        <v>EQ-0227</v>
      </c>
      <c r="AF232" s="98" t="str">
        <v>cnc milling machine</v>
      </c>
      <c r="AG232" s="98" t="str">
        <v>CONDITIONAL_MATCH</v>
      </c>
      <c r="AH232" s="98" t="str">
        <v>Match model or supported analogue, operating state, room allocation and all conditions in F. Use D/E only.</v>
      </c>
    </row>
    <row r="233">
      <c r="A233" s="1" t="s">
        <v>227</v>
      </c>
      <c r="B233" s="1" t="s">
        <v>1485</v>
      </c>
      <c r="C233" s="13" t="s">
        <v>479</v>
      </c>
      <c r="D233" s="14" t="s">
        <v>67</v>
      </c>
      <c r="E233" s="14" t="s">
        <v>67</v>
      </c>
      <c r="F233" s="7" t="inlineStr">
        <is>
          <t>Further research required if this item is used in the project. USER-REQUESTED HYPOTHETICAL EXAMPLE: 3000 W (3 kW). Illustrative CNC lathe: assumed 5,000 W average real input minus 2,000 W exported in material/coolant =3,000 W local total heat. Assumed for illustration, not sourced or project-approved. Sensible/latent split unverified. Need CNC lathe model, spindle/axis/auxiliary real power, duty and coolant heat removal. Hot chips/workpieces and remote coolant chillers transfer heat outside the local boundary. Use manufacturer room emissions or a documented machine energy balance; no generic motor-to-room factor. D/E remain blocked.</t>
        </is>
      </c>
      <c r="G233" s="18" t="s">
        <v>616</v>
      </c>
      <c r="H233" s="19" t="s">
        <v>616</v>
      </c>
      <c r="I233" s="1" t="s">
        <v>617</v>
      </c>
      <c r="J233" s="1" t="s">
        <v>1487</v>
      </c>
      <c r="K233" s="1" t="s">
        <v>1488</v>
      </c>
      <c r="L233" s="11" t="s">
        <v>58</v>
      </c>
      <c r="M233" s="1" t="s">
        <v>621</v>
      </c>
      <c r="N233" s="1" t="s">
        <v>42</v>
      </c>
      <c r="O233" s="1" t="s">
        <v>606</v>
      </c>
      <c r="P233" s="1" t="s">
        <v>486</v>
      </c>
      <c r="Q233" s="1" t="s">
        <v>486</v>
      </c>
      <c r="R233" s="1" t="s">
        <v>43</v>
      </c>
      <c r="S233" s="1" t="s">
        <v>1489</v>
      </c>
      <c r="T233" s="1" t="s">
        <v>617</v>
      </c>
      <c r="U233" s="1" t="s">
        <v>1321</v>
      </c>
      <c r="V233" s="1" t="s">
        <v>200</v>
      </c>
      <c r="W233" s="1" t="s">
        <v>1487</v>
      </c>
      <c r="X233" s="1" t="s">
        <v>48</v>
      </c>
      <c r="Y233" s="1" t="s">
        <v>49</v>
      </c>
      <c r="Z233" s="1" t="s">
        <v>50</v>
      </c>
      <c r="AA233" s="16">
        <v>3000.0</v>
      </c>
      <c r="AB233" s="16">
        <f t="shared" si="2"/>
        <v>3</v>
      </c>
      <c r="AC233" s="17" t="s">
        <v>623</v>
      </c>
      <c r="AD233" s="17" t="inlineStr">
        <is>
          <t>Further research required if this item is used in the project. Illustrative CNC lathe: assumed 5,000 W average real input minus 2,000 W exported in material/coolant =3,000 W local total heat. REQUIRED: Need CNC lathe model, spindle/axis/auxiliary real power, duty and coolant heat removal. Hot chips/workpieces and remote coolant chillers transfer heat outside the local boundary. Use manufacturer room emissions or a documented machine energy balance; no generic motor-to-room factor. D/E remain blocked.</t>
        </is>
      </c>
      <c r="AE233" s="97" t="str">
        <v>EQ-0228</v>
      </c>
      <c r="AF233" s="98" t="str">
        <v>cnc lathe</v>
      </c>
      <c r="AG233" s="98" t="str">
        <v>REFERENCE_ONLY</v>
      </c>
      <c r="AH233" s="98" t="str">
        <v>Do not auto-use reference wattage. Resolve the missing heat data or document a project estimate.</v>
      </c>
    </row>
    <row r="234">
      <c r="A234" s="1" t="s">
        <v>227</v>
      </c>
      <c r="B234" s="1" t="s">
        <v>1491</v>
      </c>
      <c r="C234" s="13" t="s">
        <v>479</v>
      </c>
      <c r="D234" s="14" t="s">
        <v>67</v>
      </c>
      <c r="E234" s="14" t="s">
        <v>67</v>
      </c>
      <c r="F234" s="7" t="inlineStr">
        <is>
          <t>Further research required if this item is used in the project. NUMERIC EXAMPLE: 830 W (0.83 kW); ELECTRICAL INPUT — not established room heat.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t>
        </is>
      </c>
      <c r="G234" s="18" t="s">
        <v>616</v>
      </c>
      <c r="H234" s="19" t="s">
        <v>616</v>
      </c>
      <c r="I234" s="1" t="s">
        <v>1121</v>
      </c>
      <c r="J234" s="1" t="s">
        <v>1493</v>
      </c>
      <c r="K234" s="1" t="s">
        <v>1123</v>
      </c>
      <c r="L234" s="11" t="s">
        <v>1124</v>
      </c>
      <c r="M234" s="1" t="s">
        <v>485</v>
      </c>
      <c r="N234" s="1" t="s">
        <v>42</v>
      </c>
      <c r="O234" s="1">
        <v>830.0</v>
      </c>
      <c r="P234" s="1" t="s">
        <v>486</v>
      </c>
      <c r="Q234" s="1" t="s">
        <v>486</v>
      </c>
      <c r="R234" s="1" t="s">
        <v>43</v>
      </c>
      <c r="S234" s="1" t="s">
        <v>1125</v>
      </c>
      <c r="T234" s="1" t="s">
        <v>1121</v>
      </c>
      <c r="U234" s="1" t="s">
        <v>1321</v>
      </c>
      <c r="V234" s="1" t="s">
        <v>200</v>
      </c>
      <c r="W234" s="1" t="s">
        <v>1493</v>
      </c>
      <c r="X234" s="1" t="s">
        <v>48</v>
      </c>
      <c r="Y234" s="1" t="s">
        <v>49</v>
      </c>
      <c r="Z234" s="1" t="s">
        <v>50</v>
      </c>
      <c r="AA234" s="16">
        <v>830.0</v>
      </c>
      <c r="AB234" s="16">
        <f t="shared" si="2"/>
        <v>0.83</v>
      </c>
      <c r="AC234" s="17" t="s">
        <v>878</v>
      </c>
      <c r="AD234" s="17" t="inlineStr">
        <is>
          <t>Further research required if this item is used in the project. Existing electrical reference for Laser cutting machine: 830 W.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 This is not a measured sensible/latent room load. Only a closed energy balance can justify equating it to eventual total heat; external steam, refrigerant, fluid, work, storage and exhaust can change that result. REQUIRED: 830 W is an existing small Trotec30 W CO2 laser input reference, not an industrial cutting-line heat value. Obtain actual laser system, chiller, power supplies, extraction and duty. Allocate heat removed by coolant/air and material export. Laser optical watts are not room heat. Same physical unit may overlap the engraver entry; count once. D/E remain blocked.</t>
        </is>
      </c>
      <c r="AE234" s="97" t="str">
        <v>EQ-0229</v>
      </c>
      <c r="AF234" s="98" t="str">
        <v>laser cutting machine</v>
      </c>
      <c r="AG234" s="98" t="str">
        <v>REFERENCE_ONLY</v>
      </c>
      <c r="AH234" s="98" t="str">
        <v>Do not auto-use reference wattage. Resolve the missing heat data or document a project estimate.</v>
      </c>
    </row>
    <row r="235">
      <c r="A235" s="1" t="s">
        <v>227</v>
      </c>
      <c r="B235" s="1" t="s">
        <v>1495</v>
      </c>
      <c r="C235" s="13" t="s">
        <v>479</v>
      </c>
      <c r="D235" s="14" t="s">
        <v>67</v>
      </c>
      <c r="E235" s="14" t="s">
        <v>67</v>
      </c>
      <c r="F235" s="7" t="inlineStr">
        <is>
          <t>Further research required if this item is used in the project. NUMERIC EXAMPLE: 85 W (0.085 kW); ELECTRICAL INPUT — not established room heat.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t>
        </is>
      </c>
      <c r="G235" s="18" t="s">
        <v>616</v>
      </c>
      <c r="H235" s="19" t="s">
        <v>616</v>
      </c>
      <c r="I235" s="1" t="s">
        <v>1042</v>
      </c>
      <c r="J235" s="1" t="s">
        <v>1497</v>
      </c>
      <c r="K235" s="1" t="s">
        <v>1498</v>
      </c>
      <c r="L235" s="11" t="s">
        <v>1499</v>
      </c>
      <c r="M235" s="1" t="s">
        <v>485</v>
      </c>
      <c r="N235" s="1" t="s">
        <v>42</v>
      </c>
      <c r="O235" s="1">
        <v>85.0</v>
      </c>
      <c r="P235" s="1" t="s">
        <v>486</v>
      </c>
      <c r="Q235" s="1" t="s">
        <v>486</v>
      </c>
      <c r="R235" s="1" t="s">
        <v>43</v>
      </c>
      <c r="S235" s="1" t="s">
        <v>1500</v>
      </c>
      <c r="T235" s="1" t="s">
        <v>1042</v>
      </c>
      <c r="U235" s="1" t="s">
        <v>1321</v>
      </c>
      <c r="V235" s="1" t="s">
        <v>200</v>
      </c>
      <c r="W235" s="1" t="s">
        <v>1497</v>
      </c>
      <c r="X235" s="1" t="s">
        <v>48</v>
      </c>
      <c r="Y235" s="1" t="s">
        <v>49</v>
      </c>
      <c r="Z235" s="1" t="s">
        <v>50</v>
      </c>
      <c r="AA235" s="16">
        <v>85.0</v>
      </c>
      <c r="AB235" s="16">
        <f t="shared" si="2"/>
        <v>0.085</v>
      </c>
      <c r="AC235" s="17" t="s">
        <v>878</v>
      </c>
      <c r="AD235" s="17" t="inlineStr">
        <is>
          <t>Further research required if this item is used in the project. Existing electrical reference for Air compressor: 85 W.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 This is not a measured sensible/latent room load. Only a closed energy balance can justify equating it to eventual total heat; external steam, refrigerant, fluid, work, storage and exhaust can change that result. REQUIRED: The existing Nitto AC0902 example is a small low-pressure compressor, not a workshop compressor proxy. Need actual real input, loaded/unloaded duty, pressure/flow, cooling and compressed-air destination. Do not assume all power heats the compressor room or multiply a nameplate by invented duty. D/E remain blocked.</t>
        </is>
      </c>
      <c r="AE235" s="97" t="str">
        <v>EQ-0230</v>
      </c>
      <c r="AF235" s="98" t="str">
        <v>air compressor</v>
      </c>
      <c r="AG235" s="98" t="str">
        <v>REFERENCE_ONLY</v>
      </c>
      <c r="AH235" s="98" t="str">
        <v>Do not auto-use reference wattage. Resolve the missing heat data or document a project estimate.</v>
      </c>
    </row>
    <row r="236">
      <c r="A236" s="1" t="s">
        <v>227</v>
      </c>
      <c r="B236" s="1" t="s">
        <v>1502</v>
      </c>
      <c r="C236" s="13" t="s">
        <v>479</v>
      </c>
      <c r="D236" s="14" t="s">
        <v>67</v>
      </c>
      <c r="E236" s="14" t="s">
        <v>67</v>
      </c>
      <c r="F236" s="7" t="inlineStr">
        <is>
          <t>Further research required if this item is used in the project. NUMERIC EXAMPLE: 45 W (0.045 kW); ELECTRICAL INPUT — not established room heat.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t>
        </is>
      </c>
      <c r="G236" s="18" t="s">
        <v>616</v>
      </c>
      <c r="H236" s="19" t="s">
        <v>616</v>
      </c>
      <c r="I236" s="1" t="s">
        <v>1042</v>
      </c>
      <c r="J236" s="1" t="s">
        <v>1504</v>
      </c>
      <c r="K236" s="1" t="s">
        <v>1505</v>
      </c>
      <c r="L236" s="11" t="s">
        <v>1506</v>
      </c>
      <c r="M236" s="1" t="s">
        <v>485</v>
      </c>
      <c r="N236" s="1" t="s">
        <v>42</v>
      </c>
      <c r="O236" s="1">
        <v>45.0</v>
      </c>
      <c r="P236" s="1" t="s">
        <v>486</v>
      </c>
      <c r="Q236" s="1" t="s">
        <v>486</v>
      </c>
      <c r="R236" s="1" t="s">
        <v>43</v>
      </c>
      <c r="S236" s="1" t="s">
        <v>1507</v>
      </c>
      <c r="T236" s="1" t="s">
        <v>1042</v>
      </c>
      <c r="U236" s="1" t="s">
        <v>1321</v>
      </c>
      <c r="V236" s="1" t="s">
        <v>200</v>
      </c>
      <c r="W236" s="1" t="s">
        <v>1504</v>
      </c>
      <c r="X236" s="1" t="s">
        <v>152</v>
      </c>
      <c r="Y236" s="1" t="s">
        <v>153</v>
      </c>
      <c r="Z236" s="1" t="s">
        <v>50</v>
      </c>
      <c r="AA236" s="16">
        <v>45.0</v>
      </c>
      <c r="AB236" s="16">
        <f t="shared" si="2"/>
        <v>0.045</v>
      </c>
      <c r="AC236" s="17" t="s">
        <v>878</v>
      </c>
      <c r="AD236" s="17" t="inlineStr">
        <is>
          <t>Further research required if this item is used in the project. Existing electrical reference for Industrial extraction unit: 45 W.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 This is not a measured sensible/latent room load. Only a closed energy balance can justify equating it to eventual total heat; external steam, refrigerant, fluid, work, storage and exhaust can change that result. REQUIRED: Extraction-unit power does not automatically heat the room. Determine whether motor losses and air work stay inside or leave through the exhaust, plus fan operating point/duty. Outdoor replacement-air cooling is a separate load. Obtain actual assembly and real watts; do not add the same fan heat at room and system levels. D/E remain blocked.</t>
        </is>
      </c>
      <c r="AE236" s="97" t="str">
        <v>EQ-0231</v>
      </c>
      <c r="AF236" s="98" t="str">
        <v>industrial extraction unit</v>
      </c>
      <c r="AG236" s="98" t="str">
        <v>REFERENCE_ONLY</v>
      </c>
      <c r="AH236" s="98" t="str">
        <v>Do not auto-use reference wattage. Resolve the missing heat data or document a project estimate.</v>
      </c>
    </row>
    <row r="237">
      <c r="A237" s="1" t="s">
        <v>227</v>
      </c>
      <c r="B237" s="1" t="s">
        <v>1509</v>
      </c>
      <c r="C237" s="13" t="s">
        <v>479</v>
      </c>
      <c r="D237" s="14" t="s">
        <v>67</v>
      </c>
      <c r="E237" s="14" t="s">
        <v>67</v>
      </c>
      <c r="F237" s="7" t="inlineStr">
        <is>
          <t>Further research required if this item is used in the project. NUMERIC EXAMPLE: 2500 W (2.5 kW); ELECTRICAL INPUT — not established room heat.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t>
        </is>
      </c>
      <c r="G237" s="18" t="s">
        <v>616</v>
      </c>
      <c r="H237" s="19" t="s">
        <v>616</v>
      </c>
      <c r="I237" s="1" t="s">
        <v>1511</v>
      </c>
      <c r="J237" s="1" t="s">
        <v>1512</v>
      </c>
      <c r="K237" s="1" t="s">
        <v>1513</v>
      </c>
      <c r="L237" s="11" t="s">
        <v>1514</v>
      </c>
      <c r="M237" s="1" t="s">
        <v>485</v>
      </c>
      <c r="N237" s="1" t="s">
        <v>42</v>
      </c>
      <c r="O237" s="1">
        <v>2500.0</v>
      </c>
      <c r="P237" s="1" t="s">
        <v>486</v>
      </c>
      <c r="Q237" s="1" t="s">
        <v>486</v>
      </c>
      <c r="R237" s="1" t="s">
        <v>43</v>
      </c>
      <c r="S237" s="1" t="s">
        <v>1515</v>
      </c>
      <c r="T237" s="1" t="s">
        <v>1511</v>
      </c>
      <c r="U237" s="1" t="s">
        <v>1321</v>
      </c>
      <c r="V237" s="1" t="s">
        <v>200</v>
      </c>
      <c r="W237" s="1" t="s">
        <v>1512</v>
      </c>
      <c r="X237" s="1" t="s">
        <v>48</v>
      </c>
      <c r="Y237" s="1" t="s">
        <v>49</v>
      </c>
      <c r="Z237" s="1" t="s">
        <v>50</v>
      </c>
      <c r="AA237" s="16">
        <v>2500.0</v>
      </c>
      <c r="AB237" s="16">
        <f t="shared" si="2"/>
        <v>2.5</v>
      </c>
      <c r="AC237" s="17" t="s">
        <v>878</v>
      </c>
      <c r="AD237" s="17" t="inlineStr">
        <is>
          <t>Further research required if this item is used in the project. Existing electrical reference for Parts washer: 2500 W.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 This is not a measured sensible/latent room load. Only a closed energy balance can justify equating it to eventual total heat; external steam, refrigerant, fluid, work, storage and exhaust can change that result. REQUIRED: 2500 W is the existing parts-washer heater component reference only. Obtain pump/control input, wash temperature, lid state, cycle duty, water/solvent evaporation and exhaust capture. Hot parts and discharged liquid may export heat. Need sensible/latent emissions for the whole operating machine; D/E remain blocked.</t>
        </is>
      </c>
      <c r="AE237" s="97" t="str">
        <v>EQ-0232</v>
      </c>
      <c r="AF237" s="98" t="str">
        <v>parts washer</v>
      </c>
      <c r="AG237" s="98" t="str">
        <v>REFERENCE_ONLY</v>
      </c>
      <c r="AH237" s="98" t="str">
        <v>Do not auto-use reference wattage. Resolve the missing heat data or document a project estimate.</v>
      </c>
    </row>
    <row r="238">
      <c r="A238" s="1" t="s">
        <v>227</v>
      </c>
      <c r="B238" s="1" t="s">
        <v>1517</v>
      </c>
      <c r="C238" s="13" t="s">
        <v>87</v>
      </c>
      <c r="D238" s="14">
        <v>5.5</v>
      </c>
      <c r="E238" s="14">
        <v>0.0</v>
      </c>
      <c r="F238" s="13" t="s">
        <v>1518</v>
      </c>
      <c r="G238" s="18">
        <v>5.5</v>
      </c>
      <c r="H238" s="19">
        <f t="shared" ref="H238:H242" si="15">G238/1000</f>
        <v>0.0055</v>
      </c>
      <c r="I238" s="1" t="s">
        <v>1447</v>
      </c>
      <c r="J238" s="1" t="s">
        <v>1519</v>
      </c>
      <c r="K238" s="1" t="s">
        <v>1520</v>
      </c>
      <c r="L238" s="11" t="s">
        <v>943</v>
      </c>
      <c r="M238" s="1" t="s">
        <v>459</v>
      </c>
      <c r="N238" s="1" t="s">
        <v>42</v>
      </c>
      <c r="O238" s="1" t="s">
        <v>606</v>
      </c>
      <c r="P238" s="1" t="s">
        <v>486</v>
      </c>
      <c r="Q238" s="1" t="s">
        <v>486</v>
      </c>
      <c r="R238" s="1" t="s">
        <v>43</v>
      </c>
      <c r="S238" s="1" t="s">
        <v>1521</v>
      </c>
      <c r="T238" s="1" t="s">
        <v>1447</v>
      </c>
      <c r="U238" s="1" t="s">
        <v>1451</v>
      </c>
      <c r="V238" s="1" t="s">
        <v>46</v>
      </c>
      <c r="W238" s="1" t="s">
        <v>47</v>
      </c>
      <c r="X238" s="1" t="s">
        <v>398</v>
      </c>
      <c r="Y238" s="1" t="s">
        <v>399</v>
      </c>
      <c r="Z238" s="1" t="s">
        <v>50</v>
      </c>
      <c r="AA238" s="12">
        <v>5.5</v>
      </c>
      <c r="AB238" s="12">
        <f t="shared" si="2"/>
        <v>0.0055</v>
      </c>
      <c r="AC238" s="13" t="s">
        <v>51</v>
      </c>
      <c r="AD238" s="13" t="s">
        <v>1518</v>
      </c>
      <c r="AE238" s="97" t="str">
        <v>EQ-0233</v>
      </c>
      <c r="AF238" s="98" t="str">
        <v>battery charging station</v>
      </c>
      <c r="AG238" s="98" t="str">
        <v>CONDITIONAL_MATCH</v>
      </c>
      <c r="AH238" s="98" t="str">
        <v>Match model or supported analogue, operating state, room allocation and all conditions in F. Use D/E only.</v>
      </c>
    </row>
    <row r="239">
      <c r="A239" s="1" t="s">
        <v>227</v>
      </c>
      <c r="B239" s="1" t="s">
        <v>1522</v>
      </c>
      <c r="C239" s="13" t="s">
        <v>87</v>
      </c>
      <c r="D239" s="14">
        <v>34.14</v>
      </c>
      <c r="E239" s="14">
        <v>0.0</v>
      </c>
      <c r="F239" s="13" t="s">
        <v>1523</v>
      </c>
      <c r="G239" s="18">
        <v>34.14</v>
      </c>
      <c r="H239" s="19">
        <f t="shared" si="15"/>
        <v>0.03414</v>
      </c>
      <c r="I239" s="1" t="s">
        <v>1524</v>
      </c>
      <c r="J239" s="1" t="s">
        <v>1525</v>
      </c>
      <c r="K239" s="1" t="s">
        <v>1526</v>
      </c>
      <c r="L239" s="11" t="s">
        <v>1527</v>
      </c>
      <c r="M239" s="1" t="s">
        <v>459</v>
      </c>
      <c r="N239" s="1" t="s">
        <v>42</v>
      </c>
      <c r="O239" s="1">
        <v>487.74</v>
      </c>
      <c r="P239" s="1">
        <v>34.14</v>
      </c>
      <c r="Q239" s="1">
        <v>0.0</v>
      </c>
      <c r="R239" s="1" t="s">
        <v>43</v>
      </c>
      <c r="S239" s="1" t="s">
        <v>1528</v>
      </c>
      <c r="T239" s="1" t="s">
        <v>1524</v>
      </c>
      <c r="U239" s="1" t="s">
        <v>676</v>
      </c>
      <c r="V239" s="1" t="s">
        <v>46</v>
      </c>
      <c r="W239" s="1" t="s">
        <v>47</v>
      </c>
      <c r="X239" s="1" t="s">
        <v>398</v>
      </c>
      <c r="Y239" s="1" t="s">
        <v>399</v>
      </c>
      <c r="Z239" s="1" t="s">
        <v>50</v>
      </c>
      <c r="AA239" s="12">
        <v>34.14</v>
      </c>
      <c r="AB239" s="12">
        <f t="shared" si="2"/>
        <v>0.03414</v>
      </c>
      <c r="AC239" s="13" t="s">
        <v>51</v>
      </c>
      <c r="AD239" s="13" t="s">
        <v>1523</v>
      </c>
      <c r="AE239" s="97" t="str">
        <v>EQ-0234</v>
      </c>
      <c r="AF239" s="98" t="str">
        <v>industrial battery charger</v>
      </c>
      <c r="AG239" s="98" t="str">
        <v>CONDITIONAL_MATCH</v>
      </c>
      <c r="AH239" s="98" t="str">
        <v>Match model or supported analogue, operating state, room allocation and all conditions in F. Use D/E only.</v>
      </c>
    </row>
    <row r="240">
      <c r="A240" s="1" t="s">
        <v>227</v>
      </c>
      <c r="B240" s="1" t="s">
        <v>1529</v>
      </c>
      <c r="C240" s="13" t="s">
        <v>87</v>
      </c>
      <c r="D240" s="14">
        <v>4.8</v>
      </c>
      <c r="E240" s="14">
        <v>0.0</v>
      </c>
      <c r="F240" s="13" t="s">
        <v>1530</v>
      </c>
      <c r="G240" s="18">
        <v>4.8</v>
      </c>
      <c r="H240" s="19">
        <f t="shared" si="15"/>
        <v>0.0048</v>
      </c>
      <c r="I240" s="1" t="s">
        <v>1149</v>
      </c>
      <c r="J240" s="1" t="s">
        <v>1531</v>
      </c>
      <c r="K240" s="1" t="s">
        <v>1532</v>
      </c>
      <c r="L240" s="11" t="s">
        <v>1533</v>
      </c>
      <c r="M240" s="1" t="s">
        <v>459</v>
      </c>
      <c r="N240" s="1" t="s">
        <v>42</v>
      </c>
      <c r="O240" s="1">
        <v>4.8</v>
      </c>
      <c r="P240" s="1">
        <v>4.8</v>
      </c>
      <c r="Q240" s="1">
        <v>0.0</v>
      </c>
      <c r="R240" s="1" t="s">
        <v>43</v>
      </c>
      <c r="S240" s="1" t="s">
        <v>1534</v>
      </c>
      <c r="T240" s="1" t="s">
        <v>1149</v>
      </c>
      <c r="U240" s="1" t="s">
        <v>461</v>
      </c>
      <c r="V240" s="1" t="s">
        <v>46</v>
      </c>
      <c r="W240" s="1" t="s">
        <v>47</v>
      </c>
      <c r="X240" s="1" t="s">
        <v>48</v>
      </c>
      <c r="Y240" s="1" t="s">
        <v>49</v>
      </c>
      <c r="Z240" s="1" t="s">
        <v>50</v>
      </c>
      <c r="AA240" s="12">
        <v>4.8</v>
      </c>
      <c r="AB240" s="12">
        <f t="shared" si="2"/>
        <v>0.0048</v>
      </c>
      <c r="AC240" s="13" t="s">
        <v>51</v>
      </c>
      <c r="AD240" s="13" t="s">
        <v>1530</v>
      </c>
      <c r="AE240" s="97" t="str">
        <v>EQ-0235</v>
      </c>
      <c r="AF240" s="98" t="str">
        <v>3d scanner</v>
      </c>
      <c r="AG240" s="98" t="str">
        <v>CONDITIONAL_MATCH</v>
      </c>
      <c r="AH240" s="98" t="str">
        <v>Match model or supported analogue, operating state, room allocation and all conditions in F. Use D/E only.</v>
      </c>
    </row>
    <row r="241">
      <c r="A241" s="1" t="s">
        <v>227</v>
      </c>
      <c r="B241" s="1" t="s">
        <v>1535</v>
      </c>
      <c r="C241" s="13" t="s">
        <v>243</v>
      </c>
      <c r="D241" s="14" t="s">
        <v>67</v>
      </c>
      <c r="E241" s="14" t="s">
        <v>67</v>
      </c>
      <c r="F241" s="7" t="inlineStr">
        <is>
          <t>Further research required if this item is used in the project. NUMERIC EXAMPLE: 32 W (0.032 kW); EXISTING REFERENCE — scope/state limits apply.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t>
        </is>
      </c>
      <c r="G241" s="18">
        <v>32.0</v>
      </c>
      <c r="H241" s="19">
        <f t="shared" si="15"/>
        <v>0.032</v>
      </c>
      <c r="I241" s="1" t="s">
        <v>1537</v>
      </c>
      <c r="J241" s="1" t="s">
        <v>1538</v>
      </c>
      <c r="K241" s="1" t="s">
        <v>1539</v>
      </c>
      <c r="L241" s="11" t="s">
        <v>1540</v>
      </c>
      <c r="M241" s="1" t="s">
        <v>1302</v>
      </c>
      <c r="N241" s="1" t="s">
        <v>42</v>
      </c>
      <c r="O241" s="1" t="s">
        <v>606</v>
      </c>
      <c r="P241" s="1">
        <v>32.0</v>
      </c>
      <c r="Q241" s="1">
        <v>0.0</v>
      </c>
      <c r="R241" s="1" t="s">
        <v>43</v>
      </c>
      <c r="S241" s="1" t="s">
        <v>1541</v>
      </c>
      <c r="T241" s="1" t="s">
        <v>1537</v>
      </c>
      <c r="U241" s="1" t="s">
        <v>1321</v>
      </c>
      <c r="V241" s="1" t="s">
        <v>200</v>
      </c>
      <c r="W241" s="1" t="s">
        <v>1538</v>
      </c>
      <c r="X241" s="1" t="s">
        <v>48</v>
      </c>
      <c r="Y241" s="1" t="s">
        <v>49</v>
      </c>
      <c r="Z241" s="1" t="s">
        <v>50</v>
      </c>
      <c r="AA241" s="16">
        <v>32.0</v>
      </c>
      <c r="AB241" s="16">
        <f t="shared" si="2"/>
        <v>0.032</v>
      </c>
      <c r="AC241" s="17" t="s">
        <v>201</v>
      </c>
      <c r="AD241" s="17" t="inlineStr">
        <is>
          <t>Further research required if this item is used in the project. Component-only cabinet contribution at 380 V, 4 kHz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 This retains the original reference, including any unresolved source limitations; it is not newly validated net room heat. REQUIRED: 32 W is the existing single ATV320U07N4C drive-loss reference, NOT a whole industrial control cabinet. Obtain a component schedule and load-dependent losses for drives, transformers, supplies, PLCs, contactors, heaters and cabinet fans/cooling. Remote motor output is not cabinet heat. Sum each loss once and allocate cabinet cooling to its discharge location. D/E remain blocked.</t>
        </is>
      </c>
      <c r="AE241" s="97" t="str">
        <v>EQ-0236</v>
      </c>
      <c r="AF241" s="98" t="str">
        <v>industrial control cabinet</v>
      </c>
      <c r="AG241" s="98" t="str">
        <v>REFERENCE_ONLY</v>
      </c>
      <c r="AH241" s="98" t="str">
        <v>Do not auto-use reference wattage. Resolve the missing heat data or document a project estimate.</v>
      </c>
    </row>
    <row r="242">
      <c r="A242" s="1" t="s">
        <v>1543</v>
      </c>
      <c r="B242" s="1" t="s">
        <v>1544</v>
      </c>
      <c r="C242" s="13" t="s">
        <v>35</v>
      </c>
      <c r="D242" s="14">
        <v>154.7</v>
      </c>
      <c r="E242" s="14">
        <v>0.0</v>
      </c>
      <c r="F242" s="13" t="s">
        <v>1545</v>
      </c>
      <c r="G242" s="18">
        <v>154.7</v>
      </c>
      <c r="H242" s="19">
        <f t="shared" si="15"/>
        <v>0.1547</v>
      </c>
      <c r="I242" s="1" t="s">
        <v>1546</v>
      </c>
      <c r="J242" s="1" t="s">
        <v>1547</v>
      </c>
      <c r="K242" s="1" t="s">
        <v>1548</v>
      </c>
      <c r="L242" s="11" t="s">
        <v>1549</v>
      </c>
      <c r="M242" s="1" t="s">
        <v>1302</v>
      </c>
      <c r="N242" s="1" t="s">
        <v>42</v>
      </c>
      <c r="O242" s="1">
        <v>904.7</v>
      </c>
      <c r="P242" s="1">
        <v>154.7</v>
      </c>
      <c r="Q242" s="1">
        <v>0.0</v>
      </c>
      <c r="R242" s="1" t="s">
        <v>43</v>
      </c>
      <c r="S242" s="1" t="s">
        <v>1550</v>
      </c>
      <c r="T242" s="1" t="s">
        <v>1546</v>
      </c>
      <c r="U242" s="1" t="s">
        <v>1551</v>
      </c>
      <c r="V242" s="1" t="s">
        <v>46</v>
      </c>
      <c r="W242" s="1" t="s">
        <v>47</v>
      </c>
      <c r="X242" s="1" t="s">
        <v>1202</v>
      </c>
      <c r="Y242" s="1" t="s">
        <v>1203</v>
      </c>
      <c r="Z242" s="1" t="s">
        <v>50</v>
      </c>
      <c r="AA242" s="12">
        <v>154.7</v>
      </c>
      <c r="AB242" s="12">
        <f t="shared" si="2"/>
        <v>0.1547</v>
      </c>
      <c r="AC242" s="13" t="s">
        <v>51</v>
      </c>
      <c r="AD242" s="13" t="s">
        <v>1545</v>
      </c>
      <c r="AE242" s="97" t="str">
        <v>EQ-0237</v>
      </c>
      <c r="AF242" s="98" t="str">
        <v>conveyor motor</v>
      </c>
      <c r="AG242" s="98" t="str">
        <v>CONDITIONAL_MATCH</v>
      </c>
      <c r="AH242" s="98" t="str">
        <v>Match model or supported analogue, operating state, room allocation and all conditions in F. Use D/E only.</v>
      </c>
    </row>
    <row r="243">
      <c r="A243" s="1" t="s">
        <v>1543</v>
      </c>
      <c r="B243" s="1" t="s">
        <v>1552</v>
      </c>
      <c r="C243" s="13" t="s">
        <v>479</v>
      </c>
      <c r="D243" s="14" t="s">
        <v>67</v>
      </c>
      <c r="E243" s="14" t="s">
        <v>67</v>
      </c>
      <c r="F243" s="7" t="inlineStr">
        <is>
          <t>Further research required if this item is used in the project. NUMERIC EXAMPLE: 160 W (0.16 kW); ELECTRICAL INPUT — not established room heat.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t>
        </is>
      </c>
      <c r="G243" s="18" t="s">
        <v>616</v>
      </c>
      <c r="H243" s="19" t="s">
        <v>616</v>
      </c>
      <c r="I243" s="1" t="s">
        <v>1554</v>
      </c>
      <c r="J243" s="1" t="s">
        <v>1555</v>
      </c>
      <c r="K243" s="1" t="s">
        <v>1556</v>
      </c>
      <c r="L243" s="11" t="s">
        <v>1557</v>
      </c>
      <c r="M243" s="1" t="s">
        <v>485</v>
      </c>
      <c r="N243" s="1" t="s">
        <v>42</v>
      </c>
      <c r="O243" s="1">
        <v>160.0</v>
      </c>
      <c r="P243" s="1" t="s">
        <v>486</v>
      </c>
      <c r="Q243" s="1" t="s">
        <v>486</v>
      </c>
      <c r="R243" s="1" t="s">
        <v>43</v>
      </c>
      <c r="S243" s="1" t="s">
        <v>1558</v>
      </c>
      <c r="T243" s="1" t="s">
        <v>1554</v>
      </c>
      <c r="U243" s="1" t="s">
        <v>1321</v>
      </c>
      <c r="V243" s="1" t="s">
        <v>200</v>
      </c>
      <c r="W243" s="1" t="s">
        <v>1555</v>
      </c>
      <c r="X243" s="1" t="s">
        <v>48</v>
      </c>
      <c r="Y243" s="1" t="s">
        <v>49</v>
      </c>
      <c r="Z243" s="1" t="s">
        <v>50</v>
      </c>
      <c r="AA243" s="16">
        <v>160.0</v>
      </c>
      <c r="AB243" s="16">
        <f t="shared" si="2"/>
        <v>0.16</v>
      </c>
      <c r="AC243" s="17" t="s">
        <v>878</v>
      </c>
      <c r="AD243" s="17" t="inlineStr">
        <is>
          <t>Further research required if this item is used in the project. Existing electrical reference for Packaging machine: 160 W.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 This is not a measured sensible/latent room load. Only a closed energy balance can justify equating it to eventual total heat; external steam, refrigerant, fluid, work, storage and exhaust can change that result. REQUIRED: 160 W is the existing hawo hd650 EcoPak band-sealer electrical reference at10 m/min, not a generic packaging-line load. Confirm model, heat-up/idle/sealing schedule, auxiliaries and heat exported in pouches. Brochure retrieval failed this pass; retain reference as previously recorded. Obtain room-emission or measured process data; D/E remain blocked.</t>
        </is>
      </c>
      <c r="AE243" s="97" t="str">
        <v>EQ-0238</v>
      </c>
      <c r="AF243" s="98" t="str">
        <v>packaging machine</v>
      </c>
      <c r="AG243" s="98" t="str">
        <v>REFERENCE_ONLY</v>
      </c>
      <c r="AH243" s="98" t="str">
        <v>Do not auto-use reference wattage. Resolve the missing heat data or document a project estimate.</v>
      </c>
    </row>
    <row r="244">
      <c r="A244" s="1" t="s">
        <v>1543</v>
      </c>
      <c r="B244" s="1" t="s">
        <v>1560</v>
      </c>
      <c r="C244" s="13" t="s">
        <v>479</v>
      </c>
      <c r="D244" s="14" t="s">
        <v>67</v>
      </c>
      <c r="E244" s="14" t="s">
        <v>67</v>
      </c>
      <c r="F244" s="7" t="inlineStr">
        <is>
          <t>Further research required if this item is used in the project. NUMERIC EXAMPLE: 5500 W (5.5 kW); ELECTRICAL INPUT — not established room heat.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t>
        </is>
      </c>
      <c r="G244" s="18" t="s">
        <v>616</v>
      </c>
      <c r="H244" s="19" t="s">
        <v>616</v>
      </c>
      <c r="I244" s="1" t="s">
        <v>1042</v>
      </c>
      <c r="J244" s="1" t="s">
        <v>1562</v>
      </c>
      <c r="K244" s="1" t="s">
        <v>1563</v>
      </c>
      <c r="L244" s="11" t="s">
        <v>1564</v>
      </c>
      <c r="M244" s="1" t="s">
        <v>485</v>
      </c>
      <c r="N244" s="1" t="s">
        <v>42</v>
      </c>
      <c r="O244" s="1">
        <v>5500.0</v>
      </c>
      <c r="P244" s="1" t="s">
        <v>486</v>
      </c>
      <c r="Q244" s="1" t="s">
        <v>486</v>
      </c>
      <c r="R244" s="1" t="s">
        <v>43</v>
      </c>
      <c r="S244" s="1" t="s">
        <v>1565</v>
      </c>
      <c r="T244" s="1" t="s">
        <v>1042</v>
      </c>
      <c r="U244" s="1" t="s">
        <v>1321</v>
      </c>
      <c r="V244" s="1" t="s">
        <v>200</v>
      </c>
      <c r="W244" s="1" t="s">
        <v>1562</v>
      </c>
      <c r="X244" s="1" t="s">
        <v>48</v>
      </c>
      <c r="Y244" s="1" t="s">
        <v>49</v>
      </c>
      <c r="Z244" s="1" t="s">
        <v>50</v>
      </c>
      <c r="AA244" s="16">
        <v>5500.0</v>
      </c>
      <c r="AB244" s="16">
        <f t="shared" si="2"/>
        <v>5.5</v>
      </c>
      <c r="AC244" s="17" t="s">
        <v>878</v>
      </c>
      <c r="AD244" s="17" t="inlineStr">
        <is>
          <t>Further research required if this item is used in the project. Existing electrical reference for Electric hydraulic power pack: 5500 W.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 This is not a measured sensible/latent room load. Only a closed energy balance can justify equating it to eventual total heat; external steam, refrigerant, fluid, work, storage and exhaust can change that result. REQUIRED: Hydraulic-pack input is divided between motor/pump losses, hydraulic work and oil heat. Need load/pressure/flow, motor efficiency, duty, oil cooler location and actuator location. Do not assign all pack input to its room when oil/work leaves it, or add cooler rejection twice. D/E remain blocked.</t>
        </is>
      </c>
      <c r="AE244" s="97" t="str">
        <v>EQ-0239</v>
      </c>
      <c r="AF244" s="98" t="str">
        <v>electric hydraulic power pack</v>
      </c>
      <c r="AG244" s="98" t="str">
        <v>REFERENCE_ONLY</v>
      </c>
      <c r="AH244" s="98" t="str">
        <v>Do not auto-use reference wattage. Resolve the missing heat data or document a project estimate.</v>
      </c>
    </row>
    <row r="245">
      <c r="A245" s="1" t="s">
        <v>1543</v>
      </c>
      <c r="B245" s="1" t="s">
        <v>1567</v>
      </c>
      <c r="C245" s="13" t="s">
        <v>479</v>
      </c>
      <c r="D245" s="14" t="s">
        <v>67</v>
      </c>
      <c r="E245" s="14" t="s">
        <v>67</v>
      </c>
      <c r="F245" s="7" t="inlineStr">
        <is>
          <t>Further research required if this item is used in the project. USER-REQUESTED HYPOTHETICAL EXAMPLE: 111.11 W (0.11111 kW). Illustrative pump motor: assumed 1,000 W shaft output at 90% efficiency; 1,000/0.90−1,000 =111.11 W motor loss. Fluid and pump heat assumed exported; actual motor/operating point unknown. Assumed for illustration, not sourced or project-approved. Sensible/latent split unverified. Need actual pump operating point, real electrical input, motor efficiency and fluid temperature/flow. Determine where hydraulic work is dissipated and whether the motor is in this room. Add only local motor/casing heat plus local fluid heat release; not rated shaft kW by default. D/E remain blocked.</t>
        </is>
      </c>
      <c r="G245" s="18" t="s">
        <v>616</v>
      </c>
      <c r="H245" s="19" t="s">
        <v>616</v>
      </c>
      <c r="I245" s="1" t="s">
        <v>617</v>
      </c>
      <c r="J245" s="1" t="s">
        <v>1569</v>
      </c>
      <c r="K245" s="1" t="s">
        <v>1570</v>
      </c>
      <c r="L245" s="11" t="s">
        <v>58</v>
      </c>
      <c r="M245" s="1" t="s">
        <v>621</v>
      </c>
      <c r="N245" s="1" t="s">
        <v>42</v>
      </c>
      <c r="O245" s="1" t="s">
        <v>606</v>
      </c>
      <c r="P245" s="1" t="s">
        <v>486</v>
      </c>
      <c r="Q245" s="1" t="s">
        <v>486</v>
      </c>
      <c r="R245" s="1" t="s">
        <v>43</v>
      </c>
      <c r="S245" s="1" t="s">
        <v>1571</v>
      </c>
      <c r="T245" s="1" t="s">
        <v>617</v>
      </c>
      <c r="U245" s="1" t="s">
        <v>1321</v>
      </c>
      <c r="V245" s="1" t="s">
        <v>200</v>
      </c>
      <c r="W245" s="1" t="s">
        <v>1569</v>
      </c>
      <c r="X245" s="1" t="s">
        <v>48</v>
      </c>
      <c r="Y245" s="1" t="s">
        <v>49</v>
      </c>
      <c r="Z245" s="1" t="s">
        <v>50</v>
      </c>
      <c r="AA245" s="16">
        <v>111.11</v>
      </c>
      <c r="AB245" s="16">
        <f t="shared" si="2"/>
        <v>0.11111</v>
      </c>
      <c r="AC245" s="17" t="s">
        <v>623</v>
      </c>
      <c r="AD245" s="17" t="inlineStr">
        <is>
          <t>Further research required if this item is used in the project. Illustrative pump motor: assumed 1,000 W shaft output at 90% efficiency; 1,000/0.90−1,000 =111.11 W motor loss. Fluid and pump heat assumed exported; actual motor/operating point unknown. REQUIRED: Need actual pump operating point, real electrical input, motor efficiency and fluid temperature/flow. Determine where hydraulic work is dissipated and whether the motor is in this room. Add only local motor/casing heat plus local fluid heat release; not rated shaft kW by default. D/E remain blocked.</t>
        </is>
      </c>
      <c r="AE245" s="97" t="str">
        <v>EQ-0240</v>
      </c>
      <c r="AF245" s="98" t="str">
        <v>small industrial pump</v>
      </c>
      <c r="AG245" s="98" t="str">
        <v>REFERENCE_ONLY</v>
      </c>
      <c r="AH245" s="98" t="str">
        <v>Do not auto-use reference wattage. Resolve the missing heat data or document a project estimate.</v>
      </c>
    </row>
    <row r="246">
      <c r="A246" s="1" t="s">
        <v>1543</v>
      </c>
      <c r="B246" s="1" t="s">
        <v>1573</v>
      </c>
      <c r="C246" s="13" t="s">
        <v>35</v>
      </c>
      <c r="D246" s="14">
        <v>179.37</v>
      </c>
      <c r="E246" s="14">
        <v>0.0</v>
      </c>
      <c r="F246" s="13" t="s">
        <v>1574</v>
      </c>
      <c r="G246" s="18">
        <v>179.37</v>
      </c>
      <c r="H246" s="19">
        <f t="shared" ref="H246:H248" si="16">G246/1000</f>
        <v>0.17937</v>
      </c>
      <c r="I246" s="1" t="s">
        <v>1575</v>
      </c>
      <c r="J246" s="1" t="s">
        <v>1576</v>
      </c>
      <c r="K246" s="1" t="s">
        <v>1577</v>
      </c>
      <c r="L246" s="11" t="s">
        <v>1578</v>
      </c>
      <c r="M246" s="1" t="s">
        <v>459</v>
      </c>
      <c r="N246" s="1" t="s">
        <v>42</v>
      </c>
      <c r="O246" s="1">
        <v>929.37</v>
      </c>
      <c r="P246" s="1">
        <v>179.37</v>
      </c>
      <c r="Q246" s="1">
        <v>0.0</v>
      </c>
      <c r="R246" s="1" t="s">
        <v>43</v>
      </c>
      <c r="S246" s="1" t="s">
        <v>1579</v>
      </c>
      <c r="T246" s="1" t="s">
        <v>1575</v>
      </c>
      <c r="U246" s="1" t="s">
        <v>676</v>
      </c>
      <c r="V246" s="1" t="s">
        <v>46</v>
      </c>
      <c r="W246" s="1" t="s">
        <v>47</v>
      </c>
      <c r="X246" s="1" t="s">
        <v>1202</v>
      </c>
      <c r="Y246" s="1" t="s">
        <v>1203</v>
      </c>
      <c r="Z246" s="1" t="s">
        <v>50</v>
      </c>
      <c r="AA246" s="12">
        <v>179.37</v>
      </c>
      <c r="AB246" s="12">
        <f t="shared" si="2"/>
        <v>0.17937</v>
      </c>
      <c r="AC246" s="13" t="s">
        <v>51</v>
      </c>
      <c r="AD246" s="13" t="s">
        <v>1574</v>
      </c>
      <c r="AE246" s="97" t="str">
        <v>EQ-0241</v>
      </c>
      <c r="AF246" s="98" t="str">
        <v>industrial electric motor</v>
      </c>
      <c r="AG246" s="98" t="str">
        <v>CONDITIONAL_MATCH</v>
      </c>
      <c r="AH246" s="98" t="str">
        <v>Match model or supported analogue, operating state, room allocation and all conditions in F. Use D/E only.</v>
      </c>
    </row>
    <row r="247">
      <c r="A247" s="1" t="s">
        <v>1543</v>
      </c>
      <c r="B247" s="1" t="s">
        <v>1580</v>
      </c>
      <c r="C247" s="13" t="s">
        <v>35</v>
      </c>
      <c r="D247" s="14">
        <v>56.0</v>
      </c>
      <c r="E247" s="14">
        <v>0.0</v>
      </c>
      <c r="F247" s="13" t="s">
        <v>1581</v>
      </c>
      <c r="G247" s="18">
        <v>56.0</v>
      </c>
      <c r="H247" s="19">
        <f t="shared" si="16"/>
        <v>0.056</v>
      </c>
      <c r="I247" s="1" t="s">
        <v>1433</v>
      </c>
      <c r="J247" s="1" t="s">
        <v>1582</v>
      </c>
      <c r="K247" s="1" t="s">
        <v>1583</v>
      </c>
      <c r="L247" s="11" t="s">
        <v>1584</v>
      </c>
      <c r="M247" s="1" t="s">
        <v>459</v>
      </c>
      <c r="N247" s="1" t="s">
        <v>42</v>
      </c>
      <c r="O247" s="1" t="s">
        <v>606</v>
      </c>
      <c r="P247" s="1">
        <v>56.0</v>
      </c>
      <c r="Q247" s="1">
        <v>0.0</v>
      </c>
      <c r="R247" s="1" t="s">
        <v>43</v>
      </c>
      <c r="S247" s="1" t="s">
        <v>1585</v>
      </c>
      <c r="T247" s="1" t="s">
        <v>1433</v>
      </c>
      <c r="U247" s="1" t="s">
        <v>461</v>
      </c>
      <c r="V247" s="1" t="s">
        <v>46</v>
      </c>
      <c r="W247" s="1" t="s">
        <v>47</v>
      </c>
      <c r="X247" s="1" t="s">
        <v>398</v>
      </c>
      <c r="Y247" s="1" t="s">
        <v>399</v>
      </c>
      <c r="Z247" s="1" t="s">
        <v>50</v>
      </c>
      <c r="AA247" s="12">
        <v>56.0</v>
      </c>
      <c r="AB247" s="12">
        <f t="shared" si="2"/>
        <v>0.056</v>
      </c>
      <c r="AC247" s="13" t="s">
        <v>51</v>
      </c>
      <c r="AD247" s="13" t="s">
        <v>1581</v>
      </c>
      <c r="AE247" s="97" t="str">
        <v>EQ-0242</v>
      </c>
      <c r="AF247" s="98" t="str">
        <v>variable-speed drive / inverter</v>
      </c>
      <c r="AG247" s="98" t="str">
        <v>CONDITIONAL_MATCH</v>
      </c>
      <c r="AH247" s="98" t="str">
        <v>Match model or supported analogue, operating state, room allocation and all conditions in F. Use D/E only.</v>
      </c>
    </row>
    <row r="248">
      <c r="A248" s="1" t="s">
        <v>1586</v>
      </c>
      <c r="B248" s="1" t="s">
        <v>1587</v>
      </c>
      <c r="C248" s="13" t="s">
        <v>53</v>
      </c>
      <c r="D248" s="14">
        <v>173.0</v>
      </c>
      <c r="E248" s="14">
        <v>0.0</v>
      </c>
      <c r="F248" s="13" t="s">
        <v>1588</v>
      </c>
      <c r="G248" s="18">
        <v>173.0</v>
      </c>
      <c r="H248" s="19">
        <f t="shared" si="16"/>
        <v>0.173</v>
      </c>
      <c r="I248" s="1" t="s">
        <v>1358</v>
      </c>
      <c r="J248" s="1" t="s">
        <v>1359</v>
      </c>
      <c r="K248" s="1" t="s">
        <v>1589</v>
      </c>
      <c r="L248" s="11" t="s">
        <v>943</v>
      </c>
      <c r="M248" s="1" t="s">
        <v>459</v>
      </c>
      <c r="N248" s="1" t="s">
        <v>42</v>
      </c>
      <c r="O248" s="1" t="s">
        <v>606</v>
      </c>
      <c r="P248" s="1" t="s">
        <v>486</v>
      </c>
      <c r="Q248" s="1" t="s">
        <v>486</v>
      </c>
      <c r="R248" s="1" t="s">
        <v>1590</v>
      </c>
      <c r="S248" s="1" t="s">
        <v>1591</v>
      </c>
      <c r="T248" s="1" t="s">
        <v>1358</v>
      </c>
      <c r="U248" s="1" t="s">
        <v>608</v>
      </c>
      <c r="V248" s="1" t="s">
        <v>46</v>
      </c>
      <c r="W248" s="1" t="s">
        <v>47</v>
      </c>
      <c r="X248" s="1" t="s">
        <v>48</v>
      </c>
      <c r="Y248" s="1" t="s">
        <v>49</v>
      </c>
      <c r="Z248" s="1" t="s">
        <v>50</v>
      </c>
      <c r="AA248" s="12">
        <v>173.0</v>
      </c>
      <c r="AB248" s="12">
        <f t="shared" si="2"/>
        <v>0.173</v>
      </c>
      <c r="AC248" s="13" t="s">
        <v>51</v>
      </c>
      <c r="AD248" s="13" t="s">
        <v>1588</v>
      </c>
      <c r="AE248" s="97" t="str">
        <v>EQ-0243</v>
      </c>
      <c r="AF248" s="98" t="str">
        <v>treadmill</v>
      </c>
      <c r="AG248" s="98" t="str">
        <v>CONDITIONAL_MATCH</v>
      </c>
      <c r="AH248" s="98" t="str">
        <v>Match model or supported analogue, operating state, room allocation and all conditions in F. Use D/E only.</v>
      </c>
    </row>
    <row r="249">
      <c r="A249" s="1" t="s">
        <v>1586</v>
      </c>
      <c r="B249" s="1" t="s">
        <v>1592</v>
      </c>
      <c r="C249" s="13" t="s">
        <v>479</v>
      </c>
      <c r="D249" s="14" t="s">
        <v>67</v>
      </c>
      <c r="E249" s="14" t="s">
        <v>67</v>
      </c>
      <c r="F249" s="7" t="inlineStr">
        <is>
          <t>Further research required if this item is used in the project. USER-REQUESTED HYPOTHETICAL EXAMPLE: 100 W (0.1 kW). Illustrative exercise station: assumed 90 W mechanical work dissipated in local resistance plus 10 W console =100 W. Reconcile rider work with occupant metabolism; not an extra 100 W on top of an allowance already including that work. Assumed for illustration, not sourced or project-approved. Sensible/latent split unverified. Need exact elliptical model: mains-powered or self-powered, console draw and exercise intensity/duration. User mechanical work dissipated in resistance is not electrical input. Reconcile it with the occupant metabolic-load method so user energy is counted once. Do not invent a standard watts-per-machine. D/E remain blocked.</t>
        </is>
      </c>
      <c r="G249" s="18" t="s">
        <v>616</v>
      </c>
      <c r="H249" s="19" t="s">
        <v>616</v>
      </c>
      <c r="I249" s="1" t="s">
        <v>617</v>
      </c>
      <c r="J249" s="1" t="s">
        <v>1594</v>
      </c>
      <c r="K249" s="1" t="s">
        <v>1595</v>
      </c>
      <c r="L249" s="11" t="s">
        <v>58</v>
      </c>
      <c r="M249" s="1" t="s">
        <v>621</v>
      </c>
      <c r="N249" s="1" t="s">
        <v>42</v>
      </c>
      <c r="O249" s="1" t="s">
        <v>606</v>
      </c>
      <c r="P249" s="1" t="s">
        <v>486</v>
      </c>
      <c r="Q249" s="1" t="s">
        <v>486</v>
      </c>
      <c r="R249" s="1" t="s">
        <v>1590</v>
      </c>
      <c r="S249" s="1" t="s">
        <v>1596</v>
      </c>
      <c r="T249" s="1" t="s">
        <v>617</v>
      </c>
      <c r="U249" s="1" t="s">
        <v>1321</v>
      </c>
      <c r="V249" s="1" t="s">
        <v>200</v>
      </c>
      <c r="W249" s="1" t="s">
        <v>1594</v>
      </c>
      <c r="X249" s="1" t="s">
        <v>48</v>
      </c>
      <c r="Y249" s="1" t="s">
        <v>49</v>
      </c>
      <c r="Z249" s="1" t="s">
        <v>50</v>
      </c>
      <c r="AA249" s="16">
        <v>100.0</v>
      </c>
      <c r="AB249" s="16">
        <f t="shared" si="2"/>
        <v>0.1</v>
      </c>
      <c r="AC249" s="17" t="s">
        <v>623</v>
      </c>
      <c r="AD249" s="17" t="inlineStr">
        <is>
          <t>Further research required if this item is used in the project. Illustrative exercise station: assumed 90 W mechanical work dissipated in local resistance plus 10 W console =100 W. Reconcile rider work with occupant metabolism; not an extra 100 W on top of an allowance already including that work. REQUIRED: Need exact elliptical model: mains-powered or self-powered, console draw and exercise intensity/duration. User mechanical work dissipated in resistance is not electrical input. Reconcile it with the occupant metabolic-load method so user energy is counted once. Do not invent a standard watts-per-machine. D/E remain blocked.</t>
        </is>
      </c>
      <c r="AE249" s="97" t="str">
        <v>EQ-0244</v>
      </c>
      <c r="AF249" s="98" t="str">
        <v>elliptical trainer</v>
      </c>
      <c r="AG249" s="98" t="str">
        <v>REFERENCE_ONLY</v>
      </c>
      <c r="AH249" s="98" t="str">
        <v>Do not auto-use reference wattage. Resolve the missing heat data or document a project estimate.</v>
      </c>
    </row>
    <row r="250">
      <c r="A250" s="1" t="s">
        <v>1586</v>
      </c>
      <c r="B250" s="1" t="s">
        <v>1598</v>
      </c>
      <c r="C250" s="13" t="s">
        <v>479</v>
      </c>
      <c r="D250" s="14" t="s">
        <v>67</v>
      </c>
      <c r="E250" s="14" t="s">
        <v>67</v>
      </c>
      <c r="F250" s="7" t="inlineStr">
        <is>
          <t>Further research required if this item is used in the project. USER-REQUESTED HYPOTHETICAL EXAMPLE: 110 W (0.11 kW). Illustrative bike: assumed 100 W rider work dissipated locally plus 10 W electronics =110 W. Rider work is part of occupant energy, not additional mains power. Assumed for illustration, not sourced or project-approved. Sensible/latent split unverified. Need bike model, console/accessory real power, rider mechanical output and brake/generator destination. If the rider supplies power, that energy comes from metabolism; adding a full exercise-person allowance and the same mechanical work can double-count it. Confirm the chosen occupant method and duty before a room estimate. D/E remain blocked.</t>
        </is>
      </c>
      <c r="G250" s="18" t="s">
        <v>616</v>
      </c>
      <c r="H250" s="19" t="s">
        <v>616</v>
      </c>
      <c r="I250" s="1" t="s">
        <v>617</v>
      </c>
      <c r="J250" s="1" t="s">
        <v>1600</v>
      </c>
      <c r="K250" s="1" t="s">
        <v>1601</v>
      </c>
      <c r="L250" s="11" t="s">
        <v>58</v>
      </c>
      <c r="M250" s="1" t="s">
        <v>621</v>
      </c>
      <c r="N250" s="1" t="s">
        <v>42</v>
      </c>
      <c r="O250" s="1" t="s">
        <v>606</v>
      </c>
      <c r="P250" s="1" t="s">
        <v>486</v>
      </c>
      <c r="Q250" s="1" t="s">
        <v>486</v>
      </c>
      <c r="R250" s="1" t="s">
        <v>1590</v>
      </c>
      <c r="S250" s="1" t="s">
        <v>1602</v>
      </c>
      <c r="T250" s="1" t="s">
        <v>617</v>
      </c>
      <c r="U250" s="1" t="s">
        <v>1321</v>
      </c>
      <c r="V250" s="1" t="s">
        <v>200</v>
      </c>
      <c r="W250" s="1" t="s">
        <v>1600</v>
      </c>
      <c r="X250" s="1" t="s">
        <v>48</v>
      </c>
      <c r="Y250" s="1" t="s">
        <v>49</v>
      </c>
      <c r="Z250" s="1" t="s">
        <v>50</v>
      </c>
      <c r="AA250" s="16">
        <v>110.0</v>
      </c>
      <c r="AB250" s="16">
        <f t="shared" si="2"/>
        <v>0.11</v>
      </c>
      <c r="AC250" s="17" t="s">
        <v>623</v>
      </c>
      <c r="AD250" s="17" t="inlineStr">
        <is>
          <t>Further research required if this item is used in the project. Illustrative bike: assumed 100 W rider work dissipated locally plus 10 W electronics =110 W. Rider work is part of occupant energy, not additional mains power. REQUIRED: Need bike model, console/accessory real power, rider mechanical output and brake/generator destination. If the rider supplies power, that energy comes from metabolism; adding a full exercise-person allowance and the same mechanical work can double-count it. Confirm the chosen occupant method and duty before a room estimate. D/E remain blocked.</t>
        </is>
      </c>
      <c r="AE250" s="97" t="str">
        <v>EQ-0245</v>
      </c>
      <c r="AF250" s="98" t="str">
        <v>exercise bike</v>
      </c>
      <c r="AG250" s="98" t="str">
        <v>REFERENCE_ONLY</v>
      </c>
      <c r="AH250" s="98" t="str">
        <v>Do not auto-use reference wattage. Resolve the missing heat data or document a project estimate.</v>
      </c>
    </row>
    <row r="251">
      <c r="A251" s="1" t="s">
        <v>1586</v>
      </c>
      <c r="B251" s="1" t="s">
        <v>1604</v>
      </c>
      <c r="C251" s="13" t="s">
        <v>479</v>
      </c>
      <c r="D251" s="14" t="s">
        <v>67</v>
      </c>
      <c r="E251" s="14" t="s">
        <v>67</v>
      </c>
      <c r="F251" s="7" t="inlineStr">
        <is>
          <t>Further research required if this item is used in the project. USER-REQUESTED HYPOTHETICAL EXAMPLE: 150 W (0.15 kW). Illustrative rower: assumed 150 W rider mechanical output dissipated locally. Monitor contribution omitted; reconcile with occupant metabolic method and add measured monitor loss if material. Assumed for illustration, not sourced or project-approved. Sensible/latent split unverified. Concept2 PM5 documentation confirms generator/battery operation, but gives no complete rower room-heat figure. Obtain model, user workload/duration and monitor input. Flywheel work becomes heat; coordinate with occupant metabolic accounting and any exported electricity. Battery capacity is not continuous power. D/E remain blocked.</t>
        </is>
      </c>
      <c r="G251" s="18" t="s">
        <v>616</v>
      </c>
      <c r="H251" s="19" t="s">
        <v>616</v>
      </c>
      <c r="I251" s="1" t="s">
        <v>617</v>
      </c>
      <c r="J251" s="1" t="s">
        <v>1606</v>
      </c>
      <c r="K251" s="1" t="s">
        <v>1607</v>
      </c>
      <c r="L251" s="11" t="s">
        <v>1608</v>
      </c>
      <c r="M251" s="1" t="s">
        <v>621</v>
      </c>
      <c r="N251" s="1" t="s">
        <v>42</v>
      </c>
      <c r="O251" s="1" t="s">
        <v>606</v>
      </c>
      <c r="P251" s="1" t="s">
        <v>486</v>
      </c>
      <c r="Q251" s="1" t="s">
        <v>486</v>
      </c>
      <c r="R251" s="1" t="s">
        <v>1590</v>
      </c>
      <c r="S251" s="1" t="s">
        <v>1609</v>
      </c>
      <c r="T251" s="1" t="s">
        <v>617</v>
      </c>
      <c r="U251" s="1" t="s">
        <v>1321</v>
      </c>
      <c r="V251" s="1" t="s">
        <v>200</v>
      </c>
      <c r="W251" s="1" t="s">
        <v>1606</v>
      </c>
      <c r="X251" s="1" t="s">
        <v>48</v>
      </c>
      <c r="Y251" s="1" t="s">
        <v>49</v>
      </c>
      <c r="Z251" s="1" t="s">
        <v>50</v>
      </c>
      <c r="AA251" s="16">
        <v>150.0</v>
      </c>
      <c r="AB251" s="16">
        <f t="shared" si="2"/>
        <v>0.15</v>
      </c>
      <c r="AC251" s="17" t="s">
        <v>623</v>
      </c>
      <c r="AD251" s="17" t="inlineStr">
        <is>
          <t>Further research required if this item is used in the project. Illustrative rower: assumed 150 W rider mechanical output dissipated locally. Monitor contribution omitted; reconcile with occupant metabolic method and add measured monitor loss if material. REQUIRED: Concept2 PM5 documentation confirms generator/battery operation, but gives no complete rower room-heat figure. Obtain model, user workload/duration and monitor input. Flywheel work becomes heat; coordinate with occupant metabolic accounting and any exported electricity. Battery capacity is not continuous power. D/E remain blocked.</t>
        </is>
      </c>
      <c r="AE251" s="97" t="str">
        <v>EQ-0246</v>
      </c>
      <c r="AF251" s="98" t="str">
        <v>rowing machine</v>
      </c>
      <c r="AG251" s="98" t="str">
        <v>REFERENCE_ONLY</v>
      </c>
      <c r="AH251" s="98" t="str">
        <v>Do not auto-use reference wattage. Resolve the missing heat data or document a project estimate.</v>
      </c>
    </row>
    <row r="252">
      <c r="A252" s="1" t="s">
        <v>1586</v>
      </c>
      <c r="B252" s="1" t="s">
        <v>1611</v>
      </c>
      <c r="C252" s="13" t="s">
        <v>479</v>
      </c>
      <c r="D252" s="14" t="s">
        <v>67</v>
      </c>
      <c r="E252" s="14" t="s">
        <v>67</v>
      </c>
      <c r="F252" s="7" t="inlineStr">
        <is>
          <t>Further research required if this item is used in the project. USER-REQUESTED HYPOTHETICAL EXAMPLE: 300 W (0.3 kW). Illustrative stair-climber: assumed 300 W net equipment dissipation from motor/console/braking after work exchanges. Selected scenario, not measured consumption; occupant accounting must be reconciled. Assumed for illustration, not sourced or project-approved. Sensible/latent split unverified. Need actual motorised gym stair-climber model, measured input by speed/load, console power, braking/regeneration and use schedule. Do not use stair-lift data. Reconcile user work with occupant loads and any exported electrical energy. No supported generic sensible/latent value; D/E remain blocked.</t>
        </is>
      </c>
      <c r="G252" s="18" t="s">
        <v>616</v>
      </c>
      <c r="H252" s="19" t="s">
        <v>616</v>
      </c>
      <c r="I252" s="1" t="s">
        <v>617</v>
      </c>
      <c r="J252" s="1" t="s">
        <v>1613</v>
      </c>
      <c r="K252" s="1" t="s">
        <v>1614</v>
      </c>
      <c r="L252" s="11" t="s">
        <v>58</v>
      </c>
      <c r="M252" s="1" t="s">
        <v>621</v>
      </c>
      <c r="N252" s="1" t="s">
        <v>42</v>
      </c>
      <c r="O252" s="1" t="s">
        <v>606</v>
      </c>
      <c r="P252" s="1" t="s">
        <v>486</v>
      </c>
      <c r="Q252" s="1" t="s">
        <v>486</v>
      </c>
      <c r="R252" s="1" t="s">
        <v>1590</v>
      </c>
      <c r="S252" s="1" t="s">
        <v>1615</v>
      </c>
      <c r="T252" s="1" t="s">
        <v>617</v>
      </c>
      <c r="U252" s="1" t="s">
        <v>1321</v>
      </c>
      <c r="V252" s="1" t="s">
        <v>200</v>
      </c>
      <c r="W252" s="1" t="s">
        <v>1613</v>
      </c>
      <c r="X252" s="1" t="s">
        <v>1202</v>
      </c>
      <c r="Y252" s="1" t="s">
        <v>1203</v>
      </c>
      <c r="Z252" s="1" t="s">
        <v>50</v>
      </c>
      <c r="AA252" s="16">
        <v>300.0</v>
      </c>
      <c r="AB252" s="16">
        <f t="shared" si="2"/>
        <v>0.3</v>
      </c>
      <c r="AC252" s="17" t="s">
        <v>623</v>
      </c>
      <c r="AD252" s="17" t="inlineStr">
        <is>
          <t>Further research required if this item is used in the project. Illustrative stair-climber: assumed 300 W net equipment dissipation from motor/console/braking after work exchanges. Selected scenario, not measured consumption; occupant accounting must be reconciled. REQUIRED: Need actual motorised gym stair-climber model, measured input by speed/load, console power, braking/regeneration and use schedule. Do not use stair-lift data. Reconcile user work with occupant loads and any exported electrical energy. No supported generic sensible/latent value; D/E remain blocked.</t>
        </is>
      </c>
      <c r="AE252" s="97" t="str">
        <v>EQ-0247</v>
      </c>
      <c r="AF252" s="98" t="str">
        <v>motorised stair climber</v>
      </c>
      <c r="AG252" s="98" t="str">
        <v>REFERENCE_ONLY</v>
      </c>
      <c r="AH252" s="98" t="str">
        <v>Do not auto-use reference wattage. Resolve the missing heat data or document a project estimate.</v>
      </c>
    </row>
    <row r="253">
      <c r="A253" s="1" t="s">
        <v>1586</v>
      </c>
      <c r="B253" s="1" t="s">
        <v>1617</v>
      </c>
      <c r="C253" s="13" t="s">
        <v>87</v>
      </c>
      <c r="D253" s="14">
        <v>110.0</v>
      </c>
      <c r="E253" s="14">
        <v>0.0</v>
      </c>
      <c r="F253" s="13" t="s">
        <v>1618</v>
      </c>
      <c r="G253" s="18">
        <v>110.0</v>
      </c>
      <c r="H253" s="20">
        <f t="shared" ref="H253:H264" si="17">G253/1000</f>
        <v>0.11</v>
      </c>
      <c r="I253" s="1" t="s">
        <v>385</v>
      </c>
      <c r="J253" s="1" t="s">
        <v>1619</v>
      </c>
      <c r="K253" s="1" t="s">
        <v>387</v>
      </c>
      <c r="L253" s="11" t="s">
        <v>388</v>
      </c>
      <c r="M253" s="2" t="s">
        <v>687</v>
      </c>
      <c r="N253" s="2" t="s">
        <v>42</v>
      </c>
      <c r="O253" s="2" t="s">
        <v>67</v>
      </c>
      <c r="P253" s="1" t="s">
        <v>68</v>
      </c>
      <c r="Q253" s="1" t="s">
        <v>68</v>
      </c>
      <c r="R253" s="1" t="s">
        <v>1590</v>
      </c>
      <c r="S253" s="1" t="s">
        <v>389</v>
      </c>
      <c r="T253" s="1" t="s">
        <v>385</v>
      </c>
      <c r="U253" s="1" t="s">
        <v>70</v>
      </c>
      <c r="V253" s="1" t="s">
        <v>46</v>
      </c>
      <c r="W253" s="1" t="s">
        <v>47</v>
      </c>
      <c r="X253" s="1" t="s">
        <v>48</v>
      </c>
      <c r="Y253" s="1" t="s">
        <v>49</v>
      </c>
      <c r="Z253" s="1" t="s">
        <v>50</v>
      </c>
      <c r="AA253" s="12">
        <v>110.0</v>
      </c>
      <c r="AB253" s="12">
        <f t="shared" si="2"/>
        <v>0.11</v>
      </c>
      <c r="AC253" s="13" t="s">
        <v>51</v>
      </c>
      <c r="AD253" s="13" t="s">
        <v>1618</v>
      </c>
      <c r="AE253" s="97" t="str">
        <v>EQ-0248</v>
      </c>
      <c r="AF253" s="98" t="str">
        <v>commercial tv / display</v>
      </c>
      <c r="AG253" s="98" t="str">
        <v>CONDITIONAL_MATCH</v>
      </c>
      <c r="AH253" s="98" t="str">
        <v>Match model or supported analogue, operating state, room allocation and all conditions in F. Use D/E only.</v>
      </c>
    </row>
    <row r="254">
      <c r="A254" s="1" t="s">
        <v>1586</v>
      </c>
      <c r="B254" s="1" t="s">
        <v>1620</v>
      </c>
      <c r="C254" s="13" t="s">
        <v>35</v>
      </c>
      <c r="D254" s="14">
        <v>200.0</v>
      </c>
      <c r="E254" s="14">
        <v>0.0</v>
      </c>
      <c r="F254" s="13" t="s">
        <v>1621</v>
      </c>
      <c r="G254" s="18">
        <v>200.0</v>
      </c>
      <c r="H254" s="19">
        <f t="shared" si="17"/>
        <v>0.2</v>
      </c>
      <c r="I254" s="1" t="s">
        <v>1622</v>
      </c>
      <c r="J254" s="1" t="s">
        <v>1623</v>
      </c>
      <c r="K254" s="1" t="s">
        <v>1624</v>
      </c>
      <c r="L254" s="11" t="s">
        <v>1625</v>
      </c>
      <c r="M254" s="1" t="s">
        <v>459</v>
      </c>
      <c r="N254" s="1" t="s">
        <v>42</v>
      </c>
      <c r="O254" s="1">
        <v>200.0</v>
      </c>
      <c r="P254" s="1">
        <v>200.0</v>
      </c>
      <c r="Q254" s="1">
        <v>0.0</v>
      </c>
      <c r="R254" s="1" t="s">
        <v>1590</v>
      </c>
      <c r="S254" s="1" t="s">
        <v>1626</v>
      </c>
      <c r="T254" s="1" t="s">
        <v>1622</v>
      </c>
      <c r="U254" s="1" t="s">
        <v>461</v>
      </c>
      <c r="V254" s="1" t="s">
        <v>46</v>
      </c>
      <c r="W254" s="1" t="s">
        <v>47</v>
      </c>
      <c r="X254" s="1" t="s">
        <v>48</v>
      </c>
      <c r="Y254" s="1" t="s">
        <v>49</v>
      </c>
      <c r="Z254" s="1" t="s">
        <v>50</v>
      </c>
      <c r="AA254" s="12">
        <v>200.0</v>
      </c>
      <c r="AB254" s="12">
        <f t="shared" si="2"/>
        <v>0.2</v>
      </c>
      <c r="AC254" s="13" t="s">
        <v>51</v>
      </c>
      <c r="AD254" s="13" t="s">
        <v>1621</v>
      </c>
      <c r="AE254" s="97" t="str">
        <v>EQ-0249</v>
      </c>
      <c r="AF254" s="98" t="str">
        <v>powered massage chair</v>
      </c>
      <c r="AG254" s="98" t="str">
        <v>CONDITIONAL_MATCH</v>
      </c>
      <c r="AH254" s="98" t="str">
        <v>Match model or supported analogue, operating state, room allocation and all conditions in F. Use D/E only.</v>
      </c>
    </row>
    <row r="255">
      <c r="A255" s="1" t="s">
        <v>1627</v>
      </c>
      <c r="B255" s="1" t="s">
        <v>1628</v>
      </c>
      <c r="C255" s="13" t="s">
        <v>35</v>
      </c>
      <c r="D255" s="14">
        <v>570.0</v>
      </c>
      <c r="E255" s="14">
        <v>0.0</v>
      </c>
      <c r="F255" s="13" t="s">
        <v>1629</v>
      </c>
      <c r="G255" s="18">
        <v>570.0</v>
      </c>
      <c r="H255" s="19">
        <f t="shared" si="17"/>
        <v>0.57</v>
      </c>
      <c r="I255" s="1" t="s">
        <v>1630</v>
      </c>
      <c r="J255" s="1" t="s">
        <v>1631</v>
      </c>
      <c r="K255" s="1" t="s">
        <v>1632</v>
      </c>
      <c r="L255" s="11" t="s">
        <v>1633</v>
      </c>
      <c r="M255" s="1" t="s">
        <v>459</v>
      </c>
      <c r="N255" s="1" t="s">
        <v>42</v>
      </c>
      <c r="O255" s="1">
        <v>570.0</v>
      </c>
      <c r="P255" s="1">
        <v>570.0</v>
      </c>
      <c r="Q255" s="1">
        <v>0.0</v>
      </c>
      <c r="R255" s="1" t="s">
        <v>1634</v>
      </c>
      <c r="S255" s="1" t="s">
        <v>1635</v>
      </c>
      <c r="T255" s="1" t="s">
        <v>1630</v>
      </c>
      <c r="U255" s="1" t="s">
        <v>461</v>
      </c>
      <c r="V255" s="1" t="s">
        <v>46</v>
      </c>
      <c r="W255" s="1" t="s">
        <v>47</v>
      </c>
      <c r="X255" s="1" t="s">
        <v>48</v>
      </c>
      <c r="Y255" s="1" t="s">
        <v>49</v>
      </c>
      <c r="Z255" s="1" t="s">
        <v>50</v>
      </c>
      <c r="AA255" s="12">
        <v>570.0</v>
      </c>
      <c r="AB255" s="12">
        <f t="shared" si="2"/>
        <v>0.57</v>
      </c>
      <c r="AC255" s="13" t="s">
        <v>51</v>
      </c>
      <c r="AD255" s="13" t="s">
        <v>1629</v>
      </c>
      <c r="AE255" s="97" t="str">
        <v>EQ-0250</v>
      </c>
      <c r="AF255" s="98" t="str">
        <v>arcade machine</v>
      </c>
      <c r="AG255" s="98" t="str">
        <v>CONDITIONAL_MATCH</v>
      </c>
      <c r="AH255" s="98" t="str">
        <v>Match model or supported analogue, operating state, room allocation and all conditions in F. Use D/E only.</v>
      </c>
    </row>
    <row r="256">
      <c r="A256" s="1" t="s">
        <v>1627</v>
      </c>
      <c r="B256" s="1" t="s">
        <v>1636</v>
      </c>
      <c r="C256" s="7" t="s">
        <v>53</v>
      </c>
      <c r="D256" s="8">
        <v>197.7</v>
      </c>
      <c r="E256" s="8">
        <v>0.0</v>
      </c>
      <c r="F256" s="7" t="s">
        <v>1637</v>
      </c>
      <c r="G256" s="18">
        <v>200.0</v>
      </c>
      <c r="H256" s="20">
        <f t="shared" si="17"/>
        <v>0.2</v>
      </c>
      <c r="I256" s="1" t="s">
        <v>1638</v>
      </c>
      <c r="J256" s="1" t="s">
        <v>1639</v>
      </c>
      <c r="K256" s="1" t="s">
        <v>1640</v>
      </c>
      <c r="L256" s="11" t="s">
        <v>1641</v>
      </c>
      <c r="M256" s="1" t="s">
        <v>41</v>
      </c>
      <c r="N256" s="2" t="s">
        <v>42</v>
      </c>
      <c r="O256" s="1">
        <v>197.7</v>
      </c>
      <c r="P256" s="1">
        <v>197.7</v>
      </c>
      <c r="Q256" s="1">
        <v>0.0</v>
      </c>
      <c r="R256" s="1" t="s">
        <v>1634</v>
      </c>
      <c r="S256" s="1" t="s">
        <v>1642</v>
      </c>
      <c r="T256" s="1" t="s">
        <v>1638</v>
      </c>
      <c r="U256" s="1" t="s">
        <v>45</v>
      </c>
      <c r="V256" s="1" t="s">
        <v>46</v>
      </c>
      <c r="W256" s="1" t="s">
        <v>47</v>
      </c>
      <c r="X256" s="1" t="s">
        <v>48</v>
      </c>
      <c r="Y256" s="1" t="s">
        <v>49</v>
      </c>
      <c r="Z256" s="1" t="s">
        <v>50</v>
      </c>
      <c r="AA256" s="12">
        <v>197.7</v>
      </c>
      <c r="AB256" s="12">
        <f t="shared" si="2"/>
        <v>0.1977</v>
      </c>
      <c r="AC256" s="13" t="s">
        <v>51</v>
      </c>
      <c r="AD256" s="13" t="s">
        <v>1637</v>
      </c>
      <c r="AE256" s="97" t="str">
        <v>EQ-0251</v>
      </c>
      <c r="AF256" s="98" t="str">
        <v>gaming console</v>
      </c>
      <c r="AG256" s="98" t="str">
        <v>CONDITIONAL_MATCH</v>
      </c>
      <c r="AH256" s="98" t="str">
        <v>Match model or supported analogue, operating state, room allocation and all conditions in F. Use D/E only.</v>
      </c>
    </row>
    <row r="257">
      <c r="A257" s="1" t="s">
        <v>1627</v>
      </c>
      <c r="B257" s="1" t="s">
        <v>1643</v>
      </c>
      <c r="C257" s="13" t="s">
        <v>453</v>
      </c>
      <c r="D257" s="14" t="s">
        <v>67</v>
      </c>
      <c r="E257" s="14" t="s">
        <v>67</v>
      </c>
      <c r="F257" s="7" t="inlineStr">
        <is>
          <t>Further research required if this item is used in the project. NUMERIC EXAMPLE: 725 W (0.725 kW); PRELIMINARY — existing selected allowance.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is>
      </c>
      <c r="G257" s="18">
        <v>725.0</v>
      </c>
      <c r="H257" s="19">
        <f t="shared" si="17"/>
        <v>0.725</v>
      </c>
      <c r="I257" s="1" t="s">
        <v>455</v>
      </c>
      <c r="J257" s="1" t="s">
        <v>456</v>
      </c>
      <c r="K257" s="1" t="s">
        <v>457</v>
      </c>
      <c r="L257" s="11" t="s">
        <v>458</v>
      </c>
      <c r="M257" s="1" t="s">
        <v>459</v>
      </c>
      <c r="N257" s="1" t="s">
        <v>42</v>
      </c>
      <c r="O257" s="1">
        <v>725.0</v>
      </c>
      <c r="P257" s="1">
        <v>725.0</v>
      </c>
      <c r="Q257" s="1">
        <v>0.0</v>
      </c>
      <c r="R257" s="1" t="s">
        <v>1634</v>
      </c>
      <c r="S257" s="1" t="s">
        <v>460</v>
      </c>
      <c r="T257" s="1" t="s">
        <v>455</v>
      </c>
      <c r="U257" s="1" t="s">
        <v>461</v>
      </c>
      <c r="V257" s="1" t="s">
        <v>200</v>
      </c>
      <c r="W257" s="1" t="s">
        <v>462</v>
      </c>
      <c r="X257" s="1" t="s">
        <v>48</v>
      </c>
      <c r="Y257" s="1" t="s">
        <v>49</v>
      </c>
      <c r="Z257" s="1" t="s">
        <v>50</v>
      </c>
      <c r="AA257" s="16">
        <v>725.0</v>
      </c>
      <c r="AB257" s="16">
        <f t="shared" si="2"/>
        <v>0.725</v>
      </c>
      <c r="AC257" s="17" t="s">
        <v>463</v>
      </c>
      <c r="AD257" s="17" t="inlineStr">
        <is>
          <t>Further research required if this item is used in the project. Midpoint of HP estimated 650–800 W intensive-load range 725 W is calculated midpoint, not measured average. HP article also gives other ranges; selected configuration only. Wall-power basis/PSU losses need verification; monitors separate. Not an engineering default. This retains the original reference, including any unresolved source limitations; it is not newly validated net room heat. REQUIRED: No job calculation value released. Replace the selected allowance with measured/vendor data for your actual equipment and operating state. 725 W is calculated midpoint, not measured average. HP article also gives other ranges; selected configuration only. Wall-power basis/PSU losses need verification; monitors separate. Not an engineering default.</t>
        </is>
      </c>
      <c r="AE257" s="97" t="str">
        <v>EQ-0252</v>
      </c>
      <c r="AF257" s="98" t="str">
        <v>gaming pc station; gaming personal computer station</v>
      </c>
      <c r="AG257" s="98" t="str">
        <v>ESTIMATE_ONLY</v>
      </c>
      <c r="AH257" s="98" t="str">
        <v>Do not auto-use reference wattage. Resolve the missing heat data or document a project estimate.</v>
      </c>
    </row>
    <row r="258">
      <c r="A258" s="1" t="s">
        <v>1627</v>
      </c>
      <c r="B258" s="1" t="s">
        <v>1644</v>
      </c>
      <c r="C258" s="13" t="s">
        <v>87</v>
      </c>
      <c r="D258" s="14">
        <v>193.0</v>
      </c>
      <c r="E258" s="14">
        <v>0.0</v>
      </c>
      <c r="F258" s="13" t="s">
        <v>1645</v>
      </c>
      <c r="G258" s="18">
        <v>193.0</v>
      </c>
      <c r="H258" s="19">
        <f t="shared" si="17"/>
        <v>0.193</v>
      </c>
      <c r="I258" s="1" t="s">
        <v>1646</v>
      </c>
      <c r="J258" s="1" t="s">
        <v>1647</v>
      </c>
      <c r="K258" s="1" t="s">
        <v>1648</v>
      </c>
      <c r="L258" s="11" t="s">
        <v>1649</v>
      </c>
      <c r="M258" s="1" t="s">
        <v>459</v>
      </c>
      <c r="N258" s="1" t="s">
        <v>42</v>
      </c>
      <c r="O258" s="1">
        <v>193.0</v>
      </c>
      <c r="P258" s="1">
        <v>193.0</v>
      </c>
      <c r="Q258" s="1">
        <v>0.0</v>
      </c>
      <c r="R258" s="1" t="s">
        <v>1634</v>
      </c>
      <c r="S258" s="1" t="s">
        <v>1650</v>
      </c>
      <c r="T258" s="1" t="s">
        <v>1646</v>
      </c>
      <c r="U258" s="1" t="s">
        <v>461</v>
      </c>
      <c r="V258" s="1" t="s">
        <v>46</v>
      </c>
      <c r="W258" s="1" t="s">
        <v>47</v>
      </c>
      <c r="X258" s="1" t="s">
        <v>48</v>
      </c>
      <c r="Y258" s="1" t="s">
        <v>49</v>
      </c>
      <c r="Z258" s="1" t="s">
        <v>50</v>
      </c>
      <c r="AA258" s="12">
        <v>193.0</v>
      </c>
      <c r="AB258" s="12">
        <f t="shared" si="2"/>
        <v>0.193</v>
      </c>
      <c r="AC258" s="13" t="s">
        <v>51</v>
      </c>
      <c r="AD258" s="13" t="s">
        <v>1645</v>
      </c>
      <c r="AE258" s="97" t="str">
        <v>EQ-0253</v>
      </c>
      <c r="AF258" s="98" t="str">
        <v>photobooth</v>
      </c>
      <c r="AG258" s="98" t="str">
        <v>CONDITIONAL_MATCH</v>
      </c>
      <c r="AH258" s="98" t="str">
        <v>Match model or supported analogue, operating state, room allocation and all conditions in F. Use D/E only.</v>
      </c>
    </row>
    <row r="259">
      <c r="A259" s="1" t="s">
        <v>1627</v>
      </c>
      <c r="B259" s="1" t="s">
        <v>1651</v>
      </c>
      <c r="C259" s="13" t="s">
        <v>35</v>
      </c>
      <c r="D259" s="14">
        <v>4000.0</v>
      </c>
      <c r="E259" s="14">
        <v>0.0</v>
      </c>
      <c r="F259" s="13" t="s">
        <v>1652</v>
      </c>
      <c r="G259" s="18">
        <v>4000.0</v>
      </c>
      <c r="H259" s="19">
        <f t="shared" si="17"/>
        <v>4</v>
      </c>
      <c r="I259" s="1" t="s">
        <v>1653</v>
      </c>
      <c r="J259" s="1" t="s">
        <v>1654</v>
      </c>
      <c r="K259" s="1" t="s">
        <v>1655</v>
      </c>
      <c r="L259" s="11" t="s">
        <v>1656</v>
      </c>
      <c r="M259" s="1" t="s">
        <v>459</v>
      </c>
      <c r="N259" s="1" t="s">
        <v>42</v>
      </c>
      <c r="O259" s="1">
        <v>4000.0</v>
      </c>
      <c r="P259" s="1">
        <v>4000.0</v>
      </c>
      <c r="Q259" s="1">
        <v>0.0</v>
      </c>
      <c r="R259" s="1" t="s">
        <v>1634</v>
      </c>
      <c r="S259" s="1" t="s">
        <v>1657</v>
      </c>
      <c r="T259" s="1" t="s">
        <v>1653</v>
      </c>
      <c r="U259" s="1" t="s">
        <v>676</v>
      </c>
      <c r="V259" s="1" t="s">
        <v>46</v>
      </c>
      <c r="W259" s="1" t="s">
        <v>47</v>
      </c>
      <c r="X259" s="1" t="s">
        <v>48</v>
      </c>
      <c r="Y259" s="1" t="s">
        <v>49</v>
      </c>
      <c r="Z259" s="1" t="s">
        <v>50</v>
      </c>
      <c r="AA259" s="12">
        <v>4000.0</v>
      </c>
      <c r="AB259" s="12">
        <f t="shared" si="2"/>
        <v>4</v>
      </c>
      <c r="AC259" s="13" t="s">
        <v>51</v>
      </c>
      <c r="AD259" s="13" t="s">
        <v>1652</v>
      </c>
      <c r="AE259" s="97" t="str">
        <v>EQ-0254</v>
      </c>
      <c r="AF259" s="98" t="str">
        <v>bowling lane equipment</v>
      </c>
      <c r="AG259" s="98" t="str">
        <v>CONDITIONAL_MATCH</v>
      </c>
      <c r="AH259" s="98" t="str">
        <v>Match model or supported analogue, operating state, room allocation and all conditions in F. Use D/E only.</v>
      </c>
    </row>
    <row r="260">
      <c r="A260" s="1" t="s">
        <v>431</v>
      </c>
      <c r="B260" s="1" t="s">
        <v>1658</v>
      </c>
      <c r="C260" s="7" t="s">
        <v>1313</v>
      </c>
      <c r="D260" s="8">
        <v>250.0</v>
      </c>
      <c r="E260" s="8">
        <v>0.0</v>
      </c>
      <c r="F260" s="7" t="s">
        <v>1659</v>
      </c>
      <c r="G260" s="18">
        <v>250.0</v>
      </c>
      <c r="H260" s="19">
        <f t="shared" si="17"/>
        <v>0.25</v>
      </c>
      <c r="I260" s="1" t="s">
        <v>1660</v>
      </c>
      <c r="J260" s="1" t="s">
        <v>1659</v>
      </c>
      <c r="K260" s="1" t="s">
        <v>1661</v>
      </c>
      <c r="L260" s="11" t="s">
        <v>1662</v>
      </c>
      <c r="M260" s="1" t="s">
        <v>1318</v>
      </c>
      <c r="N260" s="1" t="s">
        <v>42</v>
      </c>
      <c r="O260" s="1" t="s">
        <v>1663</v>
      </c>
      <c r="P260" s="1">
        <v>250.0</v>
      </c>
      <c r="Q260" s="1">
        <v>0.0</v>
      </c>
      <c r="R260" s="1" t="s">
        <v>438</v>
      </c>
      <c r="S260" s="1" t="s">
        <v>1664</v>
      </c>
      <c r="T260" s="1" t="s">
        <v>1660</v>
      </c>
      <c r="U260" s="1" t="s">
        <v>1321</v>
      </c>
      <c r="V260" s="1" t="s">
        <v>46</v>
      </c>
      <c r="W260" s="1" t="s">
        <v>47</v>
      </c>
      <c r="X260" s="1" t="s">
        <v>48</v>
      </c>
      <c r="Y260" s="1" t="s">
        <v>49</v>
      </c>
      <c r="Z260" s="1" t="s">
        <v>50</v>
      </c>
      <c r="AA260" s="12">
        <v>250.0</v>
      </c>
      <c r="AB260" s="12">
        <f t="shared" si="2"/>
        <v>0.25</v>
      </c>
      <c r="AC260" s="13" t="s">
        <v>51</v>
      </c>
      <c r="AD260" s="13" t="s">
        <v>1659</v>
      </c>
      <c r="AE260" s="97" t="str">
        <v>EQ-0255</v>
      </c>
      <c r="AF260" s="98" t="str">
        <v>washing machine</v>
      </c>
      <c r="AG260" s="98" t="str">
        <v>CONDITIONAL_MATCH</v>
      </c>
      <c r="AH260" s="98" t="str">
        <v>Match model or supported analogue, operating state, room allocation and all conditions in F. Use D/E only.</v>
      </c>
    </row>
    <row r="261">
      <c r="A261" s="1" t="s">
        <v>431</v>
      </c>
      <c r="B261" s="1" t="s">
        <v>1665</v>
      </c>
      <c r="C261" s="7" t="s">
        <v>1313</v>
      </c>
      <c r="D261" s="8">
        <v>833.33</v>
      </c>
      <c r="E261" s="8">
        <v>0.0</v>
      </c>
      <c r="F261" s="7" t="s">
        <v>1666</v>
      </c>
      <c r="G261" s="18">
        <v>833.33</v>
      </c>
      <c r="H261" s="19">
        <f t="shared" si="17"/>
        <v>0.83333</v>
      </c>
      <c r="I261" s="1" t="s">
        <v>1667</v>
      </c>
      <c r="J261" s="1" t="s">
        <v>1666</v>
      </c>
      <c r="K261" s="1" t="s">
        <v>1668</v>
      </c>
      <c r="L261" s="11" t="s">
        <v>1669</v>
      </c>
      <c r="M261" s="1" t="s">
        <v>1318</v>
      </c>
      <c r="N261" s="1" t="s">
        <v>42</v>
      </c>
      <c r="O261" s="1" t="s">
        <v>606</v>
      </c>
      <c r="P261" s="1">
        <v>833.33</v>
      </c>
      <c r="Q261" s="1">
        <v>0.0</v>
      </c>
      <c r="R261" s="1" t="s">
        <v>438</v>
      </c>
      <c r="S261" s="1" t="s">
        <v>1670</v>
      </c>
      <c r="T261" s="1" t="s">
        <v>1667</v>
      </c>
      <c r="U261" s="1" t="s">
        <v>1321</v>
      </c>
      <c r="V261" s="1" t="s">
        <v>46</v>
      </c>
      <c r="W261" s="1" t="s">
        <v>47</v>
      </c>
      <c r="X261" s="1" t="s">
        <v>48</v>
      </c>
      <c r="Y261" s="1" t="s">
        <v>49</v>
      </c>
      <c r="Z261" s="1" t="s">
        <v>50</v>
      </c>
      <c r="AA261" s="12">
        <v>833.33</v>
      </c>
      <c r="AB261" s="12">
        <f t="shared" si="2"/>
        <v>0.83333</v>
      </c>
      <c r="AC261" s="13" t="s">
        <v>51</v>
      </c>
      <c r="AD261" s="13" t="s">
        <v>1666</v>
      </c>
      <c r="AE261" s="97" t="str">
        <v>EQ-0256</v>
      </c>
      <c r="AF261" s="98" t="str">
        <v>commercial washing machine</v>
      </c>
      <c r="AG261" s="98" t="str">
        <v>CONDITIONAL_MATCH</v>
      </c>
      <c r="AH261" s="98" t="str">
        <v>Match model or supported analogue, operating state, room allocation and all conditions in F. Use D/E only.</v>
      </c>
    </row>
    <row r="262">
      <c r="A262" s="1" t="s">
        <v>431</v>
      </c>
      <c r="B262" s="1" t="s">
        <v>1671</v>
      </c>
      <c r="C262" s="7" t="s">
        <v>1313</v>
      </c>
      <c r="D262" s="8">
        <v>1000.0</v>
      </c>
      <c r="E262" s="8">
        <v>0.0</v>
      </c>
      <c r="F262" s="7" t="s">
        <v>1672</v>
      </c>
      <c r="G262" s="18">
        <v>1000.0</v>
      </c>
      <c r="H262" s="19">
        <f t="shared" si="17"/>
        <v>1</v>
      </c>
      <c r="I262" s="1" t="s">
        <v>1673</v>
      </c>
      <c r="J262" s="1" t="s">
        <v>1672</v>
      </c>
      <c r="K262" s="1" t="s">
        <v>1674</v>
      </c>
      <c r="L262" s="11" t="s">
        <v>1675</v>
      </c>
      <c r="M262" s="1" t="s">
        <v>1318</v>
      </c>
      <c r="N262" s="1" t="s">
        <v>42</v>
      </c>
      <c r="O262" s="1">
        <v>1440.0</v>
      </c>
      <c r="P262" s="1">
        <v>1000.0</v>
      </c>
      <c r="Q262" s="1">
        <v>0.0</v>
      </c>
      <c r="R262" s="1" t="s">
        <v>438</v>
      </c>
      <c r="S262" s="1" t="s">
        <v>1676</v>
      </c>
      <c r="T262" s="1" t="s">
        <v>1673</v>
      </c>
      <c r="U262" s="1" t="s">
        <v>1321</v>
      </c>
      <c r="V262" s="1" t="s">
        <v>46</v>
      </c>
      <c r="W262" s="1" t="s">
        <v>47</v>
      </c>
      <c r="X262" s="1" t="s">
        <v>48</v>
      </c>
      <c r="Y262" s="1" t="s">
        <v>49</v>
      </c>
      <c r="Z262" s="1" t="s">
        <v>50</v>
      </c>
      <c r="AA262" s="12">
        <v>1000.0</v>
      </c>
      <c r="AB262" s="12">
        <f t="shared" si="2"/>
        <v>1</v>
      </c>
      <c r="AC262" s="13" t="s">
        <v>51</v>
      </c>
      <c r="AD262" s="13" t="s">
        <v>1672</v>
      </c>
      <c r="AE262" s="97" t="str">
        <v>EQ-0257</v>
      </c>
      <c r="AF262" s="98" t="str">
        <v>tumble dryer - electric</v>
      </c>
      <c r="AG262" s="98" t="str">
        <v>CONDITIONAL_MATCH</v>
      </c>
      <c r="AH262" s="98" t="str">
        <v>Match model or supported analogue, operating state, room allocation and all conditions in F. Use D/E only.</v>
      </c>
    </row>
    <row r="263">
      <c r="A263" s="1" t="s">
        <v>431</v>
      </c>
      <c r="B263" s="1" t="s">
        <v>1677</v>
      </c>
      <c r="C263" s="7" t="s">
        <v>1313</v>
      </c>
      <c r="D263" s="8">
        <v>450.0</v>
      </c>
      <c r="E263" s="8">
        <v>0.0</v>
      </c>
      <c r="F263" s="7" t="s">
        <v>1678</v>
      </c>
      <c r="G263" s="18">
        <v>450.0</v>
      </c>
      <c r="H263" s="19">
        <f t="shared" si="17"/>
        <v>0.45</v>
      </c>
      <c r="I263" s="1" t="s">
        <v>1667</v>
      </c>
      <c r="J263" s="1" t="s">
        <v>1678</v>
      </c>
      <c r="K263" s="1" t="s">
        <v>1679</v>
      </c>
      <c r="L263" s="11" t="s">
        <v>1669</v>
      </c>
      <c r="M263" s="1" t="s">
        <v>1318</v>
      </c>
      <c r="N263" s="1" t="s">
        <v>42</v>
      </c>
      <c r="O263" s="1" t="s">
        <v>606</v>
      </c>
      <c r="P263" s="1">
        <v>450.0</v>
      </c>
      <c r="Q263" s="1">
        <v>0.0</v>
      </c>
      <c r="R263" s="1" t="s">
        <v>438</v>
      </c>
      <c r="S263" s="1" t="s">
        <v>1680</v>
      </c>
      <c r="T263" s="1" t="s">
        <v>1667</v>
      </c>
      <c r="U263" s="1" t="s">
        <v>1321</v>
      </c>
      <c r="V263" s="1" t="s">
        <v>46</v>
      </c>
      <c r="W263" s="1" t="s">
        <v>47</v>
      </c>
      <c r="X263" s="1" t="s">
        <v>48</v>
      </c>
      <c r="Y263" s="1" t="s">
        <v>49</v>
      </c>
      <c r="Z263" s="1" t="s">
        <v>50</v>
      </c>
      <c r="AA263" s="12">
        <v>450.0</v>
      </c>
      <c r="AB263" s="12">
        <f t="shared" si="2"/>
        <v>0.45</v>
      </c>
      <c r="AC263" s="13" t="s">
        <v>51</v>
      </c>
      <c r="AD263" s="13" t="s">
        <v>1678</v>
      </c>
      <c r="AE263" s="97" t="str">
        <v>EQ-0258</v>
      </c>
      <c r="AF263" s="98" t="str">
        <v>commercial tumble dryer</v>
      </c>
      <c r="AG263" s="98" t="str">
        <v>CONDITIONAL_MATCH</v>
      </c>
      <c r="AH263" s="98" t="str">
        <v>Match model or supported analogue, operating state, room allocation and all conditions in F. Use D/E only.</v>
      </c>
    </row>
    <row r="264">
      <c r="A264" s="1" t="s">
        <v>431</v>
      </c>
      <c r="B264" s="1" t="s">
        <v>1681</v>
      </c>
      <c r="C264" s="7" t="s">
        <v>1313</v>
      </c>
      <c r="D264" s="8">
        <v>1000.0</v>
      </c>
      <c r="E264" s="8">
        <v>0.0</v>
      </c>
      <c r="F264" s="7" t="s">
        <v>1682</v>
      </c>
      <c r="G264" s="18">
        <v>1000.0</v>
      </c>
      <c r="H264" s="19">
        <f t="shared" si="17"/>
        <v>1</v>
      </c>
      <c r="I264" s="1" t="s">
        <v>1683</v>
      </c>
      <c r="J264" s="1" t="s">
        <v>1682</v>
      </c>
      <c r="K264" s="1" t="s">
        <v>1674</v>
      </c>
      <c r="L264" s="11" t="s">
        <v>1675</v>
      </c>
      <c r="M264" s="1" t="s">
        <v>1318</v>
      </c>
      <c r="N264" s="1" t="s">
        <v>42</v>
      </c>
      <c r="O264" s="1" t="s">
        <v>606</v>
      </c>
      <c r="P264" s="1">
        <v>1000.0</v>
      </c>
      <c r="Q264" s="1">
        <v>0.0</v>
      </c>
      <c r="R264" s="1" t="s">
        <v>438</v>
      </c>
      <c r="S264" s="1" t="s">
        <v>1684</v>
      </c>
      <c r="T264" s="1" t="s">
        <v>1683</v>
      </c>
      <c r="U264" s="1" t="s">
        <v>1321</v>
      </c>
      <c r="V264" s="1" t="s">
        <v>46</v>
      </c>
      <c r="W264" s="1" t="s">
        <v>47</v>
      </c>
      <c r="X264" s="1" t="s">
        <v>48</v>
      </c>
      <c r="Y264" s="1" t="s">
        <v>49</v>
      </c>
      <c r="Z264" s="1" t="s">
        <v>50</v>
      </c>
      <c r="AA264" s="12">
        <v>1000.0</v>
      </c>
      <c r="AB264" s="12">
        <f t="shared" si="2"/>
        <v>1</v>
      </c>
      <c r="AC264" s="13" t="s">
        <v>51</v>
      </c>
      <c r="AD264" s="13" t="s">
        <v>1682</v>
      </c>
      <c r="AE264" s="97" t="str">
        <v>EQ-0259</v>
      </c>
      <c r="AF264" s="98" t="str">
        <v>heat-pump dryer</v>
      </c>
      <c r="AG264" s="98" t="str">
        <v>CONDITIONAL_MATCH</v>
      </c>
      <c r="AH264" s="98" t="str">
        <v>Match model or supported analogue, operating state, room allocation and all conditions in F. Use D/E only.</v>
      </c>
    </row>
    <row r="265">
      <c r="A265" s="1" t="s">
        <v>431</v>
      </c>
      <c r="B265" s="1" t="s">
        <v>1685</v>
      </c>
      <c r="C265" s="13" t="s">
        <v>479</v>
      </c>
      <c r="D265" s="14" t="s">
        <v>67</v>
      </c>
      <c r="E265" s="14" t="s">
        <v>67</v>
      </c>
      <c r="F265" s="7" t="inlineStr">
        <is>
          <t>Further research required if this item is used in the project. NUMERIC EXAMPLE: 50 W (0.05 kW); ELECTRICAL INPUT — not established room heat.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t>
        </is>
      </c>
      <c r="G265" s="18" t="s">
        <v>616</v>
      </c>
      <c r="H265" s="19" t="s">
        <v>616</v>
      </c>
      <c r="I265" s="1" t="s">
        <v>1042</v>
      </c>
      <c r="J265" s="1" t="s">
        <v>1687</v>
      </c>
      <c r="K265" s="1" t="s">
        <v>1688</v>
      </c>
      <c r="L265" s="11" t="s">
        <v>1689</v>
      </c>
      <c r="M265" s="1" t="s">
        <v>485</v>
      </c>
      <c r="N265" s="1" t="s">
        <v>42</v>
      </c>
      <c r="O265" s="1">
        <v>50.0</v>
      </c>
      <c r="P265" s="1" t="s">
        <v>486</v>
      </c>
      <c r="Q265" s="1" t="s">
        <v>486</v>
      </c>
      <c r="R265" s="1" t="s">
        <v>438</v>
      </c>
      <c r="S265" s="1" t="s">
        <v>1690</v>
      </c>
      <c r="T265" s="1" t="s">
        <v>1042</v>
      </c>
      <c r="U265" s="1" t="s">
        <v>1321</v>
      </c>
      <c r="V265" s="1" t="s">
        <v>200</v>
      </c>
      <c r="W265" s="1" t="s">
        <v>1687</v>
      </c>
      <c r="X265" s="1" t="s">
        <v>48</v>
      </c>
      <c r="Y265" s="1" t="s">
        <v>49</v>
      </c>
      <c r="Z265" s="1" t="s">
        <v>50</v>
      </c>
      <c r="AA265" s="16">
        <v>50.0</v>
      </c>
      <c r="AB265" s="16">
        <f t="shared" si="2"/>
        <v>0.05</v>
      </c>
      <c r="AC265" s="17" t="s">
        <v>878</v>
      </c>
      <c r="AD265" s="17" t="inlineStr">
        <is>
          <t>Further research required if this item is used in the project. Existing electrical reference for Commercial iron / steam press: 50 W.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 This is not a measured sensible/latent room load. Only a closed energy balance can justify equating it to eventual total heat; external steam, refrigerant, fluid, work, storage and exhaust can change that result. REQUIRED: 50 W is controls/electrical reference for a steam-fed HF360 press, not total thermal load. Obtain external steam mass flow/pressure, condensate return, press/vacuum exhaust, cycle duty and room leakage. Include fabric heat/moisture only where released; do not infer total heat from controls watts. Manufacturer steam consumption and local allocation are required; D/E remain blocked.</t>
        </is>
      </c>
      <c r="AE265" s="97" t="str">
        <v>EQ-0260</v>
      </c>
      <c r="AF265" s="98" t="str">
        <v>commercial iron / steam press</v>
      </c>
      <c r="AG265" s="98" t="str">
        <v>REFERENCE_ONLY</v>
      </c>
      <c r="AH265" s="98" t="str">
        <v>Do not auto-use reference wattage. Resolve the missing heat data or document a project estimate.</v>
      </c>
    </row>
    <row r="266">
      <c r="A266" s="1" t="s">
        <v>407</v>
      </c>
      <c r="B266" s="1" t="s">
        <v>1692</v>
      </c>
      <c r="C266" s="13" t="s">
        <v>479</v>
      </c>
      <c r="D266" s="14" t="s">
        <v>67</v>
      </c>
      <c r="E266" s="14" t="s">
        <v>67</v>
      </c>
      <c r="F266" s="7" t="inlineStr">
        <is>
          <t>Further research required if this item is used in the project. USER-REQUESTED HYPOTHETICAL EXAMPLE: 100 W (0.1 kW). Illustrative charger/battery: assumed 1,000 W AC input and 900 W net stored energy =100 W local total losses; one active charge state, no battery latent/vent-gas split established. Assumed for illustration, not sourced or project-approved. Sensible/latent split unverified. TO COMPLETE: Charger model and count; measured AC input/DC output by charging stage; battery heat and location; design-hour charging schedule. Need exact scrubber charger, AC/DC power and battery state; brush/vacuum motor ratings do not determine charging heat. Reference link is supporting method/product context only; no numeric room-heat value established. D/E remain unknown; use documented project inputs in Room worksheet I:M once resolved.</t>
        </is>
      </c>
      <c r="G266" s="18" t="s">
        <v>616</v>
      </c>
      <c r="H266" s="19" t="s">
        <v>616</v>
      </c>
      <c r="I266" s="1" t="s">
        <v>617</v>
      </c>
      <c r="J266" s="1" t="s">
        <v>1694</v>
      </c>
      <c r="K266" s="1" t="s">
        <v>1695</v>
      </c>
      <c r="L266" s="11" t="s">
        <v>1696</v>
      </c>
      <c r="M266" s="1" t="s">
        <v>621</v>
      </c>
      <c r="N266" s="1" t="s">
        <v>42</v>
      </c>
      <c r="O266" s="1" t="s">
        <v>606</v>
      </c>
      <c r="P266" s="1" t="s">
        <v>486</v>
      </c>
      <c r="Q266" s="1" t="s">
        <v>486</v>
      </c>
      <c r="R266" s="1" t="s">
        <v>43</v>
      </c>
      <c r="S266" s="1" t="s">
        <v>1697</v>
      </c>
      <c r="T266" s="1" t="s">
        <v>617</v>
      </c>
      <c r="U266" s="1" t="s">
        <v>1698</v>
      </c>
      <c r="V266" s="1" t="s">
        <v>200</v>
      </c>
      <c r="W266" s="1" t="s">
        <v>1699</v>
      </c>
      <c r="X266" s="1" t="s">
        <v>398</v>
      </c>
      <c r="Y266" s="1" t="s">
        <v>399</v>
      </c>
      <c r="Z266" s="1" t="s">
        <v>50</v>
      </c>
      <c r="AA266" s="16">
        <v>100.0</v>
      </c>
      <c r="AB266" s="16">
        <f t="shared" si="2"/>
        <v>0.1</v>
      </c>
      <c r="AC266" s="17" t="s">
        <v>623</v>
      </c>
      <c r="AD266" s="17" t="inlineStr">
        <is>
          <t>Further research required if this item is used in the project. Illustrative charger/battery: assumed 1,000 W AC input and 900 W net stored energy =100 W local total losses; one active charge state, no battery latent/vent-gas split established. REQUIRED: Charger model and count; measured AC input/DC output by charging stage; battery heat and location; design-hour charging schedule.</t>
        </is>
      </c>
      <c r="AE266" s="97" t="str">
        <v>EQ-0261</v>
      </c>
      <c r="AF266" s="98" t="str">
        <v>commercial floor scrubber charger</v>
      </c>
      <c r="AG266" s="98" t="str">
        <v>REFERENCE_ONLY</v>
      </c>
      <c r="AH266" s="98" t="str">
        <v>Do not auto-use reference wattage. Resolve the missing heat data or document a project estimate.</v>
      </c>
    </row>
    <row r="267">
      <c r="A267" s="1" t="s">
        <v>407</v>
      </c>
      <c r="B267" s="1" t="s">
        <v>1701</v>
      </c>
      <c r="C267" s="13" t="s">
        <v>442</v>
      </c>
      <c r="D267" s="14" t="s">
        <v>67</v>
      </c>
      <c r="E267" s="14" t="s">
        <v>67</v>
      </c>
      <c r="F267" s="7" t="inlineStr">
        <is>
          <t>Further research required if this item is used in the project. NUMERIC EXAMPLE: 900 W (0.9 kW); EXISTING REFERENCE — scope/state limits apply. TO COMPLETE: Dryer mode and seconds of operation per hour; water evaporated versus drained; air/exhaust destination; sensible/latent split. 900 W Max-mode input is an approximate eventual total gain if air and dissipated motor/jet energy stay indoors; not 900 W continuous or purely sensible gain. Eco mode 650 W. Apply actual running seconds per design hour; no usage rate assumed. Moisture, water carried away and exhaust require separate assessment. D/E remain unknown; use documented project inputs in Room worksheet I:M once resolved.</t>
        </is>
      </c>
      <c r="G267" s="18">
        <v>900.0</v>
      </c>
      <c r="H267" s="19">
        <f>G267/1000</f>
        <v>0.9</v>
      </c>
      <c r="I267" s="1" t="s">
        <v>1703</v>
      </c>
      <c r="J267" s="1" t="s">
        <v>1704</v>
      </c>
      <c r="K267" s="1" t="s">
        <v>1705</v>
      </c>
      <c r="L267" s="11" t="s">
        <v>1706</v>
      </c>
      <c r="M267" s="1" t="s">
        <v>778</v>
      </c>
      <c r="N267" s="1" t="s">
        <v>42</v>
      </c>
      <c r="O267" s="1">
        <v>900.0</v>
      </c>
      <c r="P267" s="1" t="s">
        <v>1707</v>
      </c>
      <c r="Q267" s="1" t="s">
        <v>1707</v>
      </c>
      <c r="R267" s="1" t="s">
        <v>43</v>
      </c>
      <c r="S267" s="1" t="s">
        <v>1708</v>
      </c>
      <c r="T267" s="1" t="s">
        <v>1703</v>
      </c>
      <c r="U267" s="1" t="s">
        <v>780</v>
      </c>
      <c r="V267" s="1" t="s">
        <v>200</v>
      </c>
      <c r="W267" s="1" t="s">
        <v>1709</v>
      </c>
      <c r="X267" s="1" t="s">
        <v>48</v>
      </c>
      <c r="Y267" s="1" t="s">
        <v>49</v>
      </c>
      <c r="Z267" s="1" t="s">
        <v>50</v>
      </c>
      <c r="AA267" s="16">
        <v>900.0</v>
      </c>
      <c r="AB267" s="16">
        <f t="shared" si="2"/>
        <v>0.9</v>
      </c>
      <c r="AC267" s="17" t="s">
        <v>201</v>
      </c>
      <c r="AD267" s="17" t="inlineStr">
        <is>
          <t>Further research required if this item is used in the project. Conditional total electrical heat contribution while running; 10-second nominal dry 900 W Max-mode input is an approximate eventual total gain if air and dissipated motor/jet energy stay indoors; not 900 W continuous or purely sensible gain. Eco mode 650 W. Apply actual running seconds per design hour; no usage rate assumed. Moisture, water carried away and exhaust require separate assessment. This retains the original reference, including any unresolved source limitations; it is not newly validated net room heat. REQUIRED: Dryer mode and seconds of operation per hour; water evaporated versus drained; air/exhaust destination; sensible/latent split.</t>
        </is>
      </c>
      <c r="AE267" s="97" t="str">
        <v>EQ-0262</v>
      </c>
      <c r="AF267" s="98" t="str">
        <v>hand dryer - electric</v>
      </c>
      <c r="AG267" s="98" t="str">
        <v>REFERENCE_ONLY</v>
      </c>
      <c r="AH267" s="98" t="str">
        <v>Do not auto-use reference wattage. Resolve the missing heat data or document a project estimate.</v>
      </c>
    </row>
    <row r="268">
      <c r="A268" s="1" t="s">
        <v>407</v>
      </c>
      <c r="B268" s="1" t="s">
        <v>1711</v>
      </c>
      <c r="C268" s="13" t="s">
        <v>479</v>
      </c>
      <c r="D268" s="14" t="s">
        <v>67</v>
      </c>
      <c r="E268" s="14" t="s">
        <v>67</v>
      </c>
      <c r="F268" s="7" t="inlineStr">
        <is>
          <t>Further research required if this item is used in the project. NUMERIC EXAMPLE: 65 W (0.065 kW); ELECTRICAL INPUT — not established room heat. TO COMPLETE: Actual pump operating point and real input; local motor/casing loss; heat carried away by water. Published 65 W input; fluid carries hydraulic and thermal energy away. Determine local motor losses and system boundary. D/E remain unknown; use documented project inputs in Room worksheet I:M once resolved.</t>
        </is>
      </c>
      <c r="G268" s="18" t="s">
        <v>616</v>
      </c>
      <c r="H268" s="19" t="s">
        <v>616</v>
      </c>
      <c r="I268" s="1" t="s">
        <v>1042</v>
      </c>
      <c r="J268" s="1" t="s">
        <v>1713</v>
      </c>
      <c r="K268" s="1" t="s">
        <v>1714</v>
      </c>
      <c r="L268" s="11" t="s">
        <v>1715</v>
      </c>
      <c r="M268" s="1" t="s">
        <v>485</v>
      </c>
      <c r="N268" s="1" t="s">
        <v>42</v>
      </c>
      <c r="O268" s="1">
        <v>65.0</v>
      </c>
      <c r="P268" s="1" t="s">
        <v>486</v>
      </c>
      <c r="Q268" s="1" t="s">
        <v>486</v>
      </c>
      <c r="R268" s="1" t="s">
        <v>43</v>
      </c>
      <c r="S268" s="1" t="s">
        <v>1716</v>
      </c>
      <c r="T268" s="1" t="s">
        <v>1042</v>
      </c>
      <c r="U268" s="1" t="s">
        <v>1717</v>
      </c>
      <c r="V268" s="1" t="s">
        <v>200</v>
      </c>
      <c r="W268" s="1" t="s">
        <v>1718</v>
      </c>
      <c r="X268" s="1" t="s">
        <v>48</v>
      </c>
      <c r="Y268" s="1" t="s">
        <v>49</v>
      </c>
      <c r="Z268" s="1" t="s">
        <v>50</v>
      </c>
      <c r="AA268" s="16">
        <v>65.0</v>
      </c>
      <c r="AB268" s="16">
        <f t="shared" si="2"/>
        <v>0.065</v>
      </c>
      <c r="AC268" s="17" t="s">
        <v>878</v>
      </c>
      <c r="AD268" s="17" t="inlineStr">
        <is>
          <t>Further research required if this item is used in the project. Existing electrical reference for Electric water pump: 65 W. Published 65 W input; fluid carries hydraulic and thermal energy away. Determine local motor losses and system boundary. This is not a measured sensible/latent room load. Only a closed energy balance can justify equating it to eventual total heat; external steam, refrigerant, fluid, work, storage and exhaust can change that result. REQUIRED: Actual pump operating point and real input; local motor/casing loss; heat carried away by water.</t>
        </is>
      </c>
      <c r="AE268" s="97" t="str">
        <v>EQ-0263</v>
      </c>
      <c r="AF268" s="98" t="str">
        <v>electric water pump</v>
      </c>
      <c r="AG268" s="98" t="str">
        <v>REFERENCE_ONLY</v>
      </c>
      <c r="AH268" s="98" t="str">
        <v>Do not auto-use reference wattage. Resolve the missing heat data or document a project estimate.</v>
      </c>
    </row>
    <row r="269">
      <c r="A269" s="1" t="s">
        <v>280</v>
      </c>
      <c r="B269" s="1" t="s">
        <v>1720</v>
      </c>
      <c r="C269" s="13" t="s">
        <v>87</v>
      </c>
      <c r="D269" s="14">
        <v>19.93</v>
      </c>
      <c r="E269" s="14">
        <v>0.0</v>
      </c>
      <c r="F269" s="13" t="s">
        <v>1721</v>
      </c>
      <c r="G269" s="18">
        <v>19.93</v>
      </c>
      <c r="H269" s="19">
        <f t="shared" ref="H269:H272" si="18">G269/1000</f>
        <v>0.01993</v>
      </c>
      <c r="I269" s="1" t="s">
        <v>1722</v>
      </c>
      <c r="J269" s="1" t="s">
        <v>1723</v>
      </c>
      <c r="K269" s="1" t="s">
        <v>1724</v>
      </c>
      <c r="L269" s="11" t="s">
        <v>1725</v>
      </c>
      <c r="M269" s="1" t="s">
        <v>524</v>
      </c>
      <c r="N269" s="1" t="s">
        <v>582</v>
      </c>
      <c r="O269" s="1">
        <v>19.93</v>
      </c>
      <c r="P269" s="1">
        <v>19.93</v>
      </c>
      <c r="Q269" s="1">
        <v>0.0</v>
      </c>
      <c r="R269" s="1" t="s">
        <v>43</v>
      </c>
      <c r="S269" s="1" t="s">
        <v>1726</v>
      </c>
      <c r="T269" s="1" t="s">
        <v>1722</v>
      </c>
      <c r="U269" s="1" t="s">
        <v>526</v>
      </c>
      <c r="V269" s="1" t="s">
        <v>46</v>
      </c>
      <c r="W269" s="1" t="s">
        <v>47</v>
      </c>
      <c r="X269" s="1" t="s">
        <v>174</v>
      </c>
      <c r="Y269" s="1" t="s">
        <v>175</v>
      </c>
      <c r="Z269" s="1" t="s">
        <v>50</v>
      </c>
      <c r="AA269" s="12">
        <v>19.93</v>
      </c>
      <c r="AB269" s="12">
        <f t="shared" si="2"/>
        <v>0.01993</v>
      </c>
      <c r="AC269" s="13" t="s">
        <v>51</v>
      </c>
      <c r="AD269" s="13" t="s">
        <v>1721</v>
      </c>
      <c r="AE269" s="97" t="str">
        <v>EQ-0264</v>
      </c>
      <c r="AF269" s="98" t="str">
        <v>network video recorder (nvr)</v>
      </c>
      <c r="AG269" s="98" t="str">
        <v>CONDITIONAL_MATCH</v>
      </c>
      <c r="AH269" s="98" t="str">
        <v>Match model or supported analogue, operating state, room allocation and all conditions in F. Use D/E only.</v>
      </c>
    </row>
    <row r="270">
      <c r="A270" s="1" t="s">
        <v>280</v>
      </c>
      <c r="B270" s="1" t="s">
        <v>1727</v>
      </c>
      <c r="C270" s="13" t="s">
        <v>129</v>
      </c>
      <c r="D270" s="14">
        <v>0.8</v>
      </c>
      <c r="E270" s="14">
        <v>0.0</v>
      </c>
      <c r="F270" s="13" t="s">
        <v>1728</v>
      </c>
      <c r="G270" s="18">
        <v>0.8</v>
      </c>
      <c r="H270" s="19">
        <f t="shared" si="18"/>
        <v>0.0008</v>
      </c>
      <c r="I270" s="1" t="s">
        <v>1729</v>
      </c>
      <c r="J270" s="1" t="s">
        <v>1730</v>
      </c>
      <c r="K270" s="1" t="s">
        <v>1731</v>
      </c>
      <c r="L270" s="11" t="s">
        <v>1732</v>
      </c>
      <c r="M270" s="1" t="s">
        <v>459</v>
      </c>
      <c r="N270" s="1" t="s">
        <v>582</v>
      </c>
      <c r="O270" s="1">
        <v>0.8</v>
      </c>
      <c r="P270" s="1">
        <v>0.8</v>
      </c>
      <c r="Q270" s="1">
        <v>0.0</v>
      </c>
      <c r="R270" s="1" t="s">
        <v>43</v>
      </c>
      <c r="S270" s="1" t="s">
        <v>1733</v>
      </c>
      <c r="T270" s="1" t="s">
        <v>1729</v>
      </c>
      <c r="U270" s="1" t="s">
        <v>676</v>
      </c>
      <c r="V270" s="1" t="s">
        <v>46</v>
      </c>
      <c r="W270" s="1" t="s">
        <v>47</v>
      </c>
      <c r="X270" s="1" t="s">
        <v>48</v>
      </c>
      <c r="Y270" s="1" t="s">
        <v>49</v>
      </c>
      <c r="Z270" s="1" t="s">
        <v>50</v>
      </c>
      <c r="AA270" s="12">
        <v>0.8</v>
      </c>
      <c r="AB270" s="12">
        <f t="shared" si="2"/>
        <v>0.0008</v>
      </c>
      <c r="AC270" s="13" t="s">
        <v>51</v>
      </c>
      <c r="AD270" s="13" t="s">
        <v>1728</v>
      </c>
      <c r="AE270" s="97" t="str">
        <v>EQ-0265</v>
      </c>
      <c r="AF270" s="98" t="str">
        <v>access-control panel</v>
      </c>
      <c r="AG270" s="98" t="str">
        <v>CONDITIONAL_MATCH</v>
      </c>
      <c r="AH270" s="98" t="str">
        <v>Match model or supported analogue, operating state, room allocation and all conditions in F. Use D/E only.</v>
      </c>
    </row>
    <row r="271">
      <c r="A271" s="1" t="s">
        <v>280</v>
      </c>
      <c r="B271" s="1" t="s">
        <v>1734</v>
      </c>
      <c r="C271" s="13" t="s">
        <v>243</v>
      </c>
      <c r="D271" s="14" t="s">
        <v>67</v>
      </c>
      <c r="E271" s="14" t="s">
        <v>67</v>
      </c>
      <c r="F271" s="7" t="inlineStr">
        <is>
          <t>Further research required if this item is used in the project. NUMERIC EXAMPLE: 1.5 W (0.0015 kW); EXISTING REFERENCE — scope/state limits apply. TO COMPLETE: Installed panel, transformer and peripheral inventory; battery charging state; remote-output power; local losses. 12 V × 0.125 A = 1.5 W; alarm-state electronics at 155 mA gives 1.86 W. Reference is control-panel electronics, not complete installed alarm-system heat. Add actual transformer loss, battery charging and in-room peripherals separately; exclude power exported to remote devices. D/E remain unknown; use documented project inputs in Room worksheet I:M once resolved.</t>
        </is>
      </c>
      <c r="G271" s="18">
        <v>1.5</v>
      </c>
      <c r="H271" s="19">
        <f t="shared" si="18"/>
        <v>0.0015</v>
      </c>
      <c r="I271" s="1" t="s">
        <v>1736</v>
      </c>
      <c r="J271" s="1" t="s">
        <v>1737</v>
      </c>
      <c r="K271" s="1" t="s">
        <v>1738</v>
      </c>
      <c r="L271" s="11" t="s">
        <v>1739</v>
      </c>
      <c r="M271" s="1" t="s">
        <v>459</v>
      </c>
      <c r="N271" s="1" t="s">
        <v>582</v>
      </c>
      <c r="O271" s="1">
        <v>1.5</v>
      </c>
      <c r="P271" s="1">
        <v>1.5</v>
      </c>
      <c r="Q271" s="1">
        <v>0.0</v>
      </c>
      <c r="R271" s="1" t="s">
        <v>43</v>
      </c>
      <c r="S271" s="1" t="s">
        <v>1740</v>
      </c>
      <c r="T271" s="1" t="s">
        <v>1736</v>
      </c>
      <c r="U271" s="1" t="s">
        <v>1741</v>
      </c>
      <c r="V271" s="1" t="s">
        <v>200</v>
      </c>
      <c r="W271" s="1" t="s">
        <v>1742</v>
      </c>
      <c r="X271" s="1" t="s">
        <v>48</v>
      </c>
      <c r="Y271" s="1" t="s">
        <v>49</v>
      </c>
      <c r="Z271" s="1" t="s">
        <v>50</v>
      </c>
      <c r="AA271" s="16">
        <v>1.5</v>
      </c>
      <c r="AB271" s="16">
        <f t="shared" si="2"/>
        <v>0.0015</v>
      </c>
      <c r="AC271" s="17" t="s">
        <v>201</v>
      </c>
      <c r="AD271" s="17" t="inlineStr">
        <is>
          <t>Further research required if this item is used in the project. Idle electronics at nominal 12 VDC; excludes auxiliary loads and charging 12 V × 0.125 A = 1.5 W; alarm-state electronics at 155 mA gives 1.86 W. Reference is control-panel electronics, not complete installed alarm-system heat. Add actual transformer loss, battery charging and in-room peripherals separately; exclude power exported to remote devices. This retains the original reference, including any unresolved source limitations; it is not newly validated net room heat. REQUIRED: Installed panel, transformer and peripheral inventory; battery charging state; remote-output power; local losses.</t>
        </is>
      </c>
      <c r="AE271" s="97" t="str">
        <v>EQ-0266</v>
      </c>
      <c r="AF271" s="98" t="str">
        <v>security alarm panel</v>
      </c>
      <c r="AG271" s="98" t="str">
        <v>REFERENCE_ONLY</v>
      </c>
      <c r="AH271" s="98" t="str">
        <v>Do not auto-use reference wattage. Resolve the missing heat data or document a project estimate.</v>
      </c>
    </row>
    <row r="272">
      <c r="A272" s="1" t="s">
        <v>280</v>
      </c>
      <c r="B272" s="1" t="s">
        <v>1744</v>
      </c>
      <c r="C272" s="13" t="s">
        <v>453</v>
      </c>
      <c r="D272" s="14" t="s">
        <v>67</v>
      </c>
      <c r="E272" s="14" t="s">
        <v>67</v>
      </c>
      <c r="F272" s="7" t="inlineStr">
        <is>
          <t>Further research required if this item is used in the project. NUMERIC EXAMPLE: 100 W (0.1 kW); PRELIMINARY — existing selected allowance. TO COMPLETE: Actual security workstation CPU/GPU and real power under surveillance workload; monitor count and separate heat; operating schedule. Office-duty tower only; add screens and specialist hardware. 100 W selected as a preliminary office-use assumption within the published sample range; not a measured average. D/E remain unknown; use documented project inputs in Room worksheet I:M once resolved.</t>
        </is>
      </c>
      <c r="G272" s="18">
        <v>100.0</v>
      </c>
      <c r="H272" s="20">
        <f t="shared" si="18"/>
        <v>0.1</v>
      </c>
      <c r="I272" s="1" t="s">
        <v>1746</v>
      </c>
      <c r="J272" s="1" t="s">
        <v>1747</v>
      </c>
      <c r="K272" s="1" t="s">
        <v>1748</v>
      </c>
      <c r="L272" s="11" t="s">
        <v>58</v>
      </c>
      <c r="M272" s="2" t="s">
        <v>687</v>
      </c>
      <c r="N272" s="2" t="s">
        <v>582</v>
      </c>
      <c r="O272" s="2" t="s">
        <v>67</v>
      </c>
      <c r="P272" s="1" t="s">
        <v>68</v>
      </c>
      <c r="Q272" s="1" t="s">
        <v>68</v>
      </c>
      <c r="R272" s="1" t="s">
        <v>43</v>
      </c>
      <c r="S272" s="1" t="s">
        <v>69</v>
      </c>
      <c r="T272" s="1" t="s">
        <v>1746</v>
      </c>
      <c r="U272" s="1" t="s">
        <v>70</v>
      </c>
      <c r="V272" s="1" t="s">
        <v>200</v>
      </c>
      <c r="W272" s="1" t="s">
        <v>1749</v>
      </c>
      <c r="X272" s="1" t="s">
        <v>48</v>
      </c>
      <c r="Y272" s="1" t="s">
        <v>49</v>
      </c>
      <c r="Z272" s="1" t="s">
        <v>50</v>
      </c>
      <c r="AA272" s="16">
        <v>100.0</v>
      </c>
      <c r="AB272" s="16">
        <f t="shared" si="2"/>
        <v>0.1</v>
      </c>
      <c r="AC272" s="17" t="s">
        <v>463</v>
      </c>
      <c r="AD272" s="17" t="inlineStr">
        <is>
          <t>Further research required if this item is used in the project. Office use — monitor separate Office-duty tower only; add screens and specialist hardware. 100 W selected as a preliminary office-use assumption within the published sample range; not a measured average. This retains the original reference, including any unresolved source limitations; it is not newly validated net room heat. REQUIRED: Actual security workstation CPU/GPU and real power under surveillance workload; monitor count and separate heat; operating schedule.</t>
        </is>
      </c>
      <c r="AE272" s="97" t="str">
        <v>EQ-0267</v>
      </c>
      <c r="AF272" s="98" t="str">
        <v>security control-room workstation</v>
      </c>
      <c r="AG272" s="98" t="str">
        <v>ESTIMATE_ONLY</v>
      </c>
      <c r="AH272" s="98" t="str">
        <v>Do not auto-use reference wattage. Resolve the missing heat data or document a project estimate.</v>
      </c>
    </row>
    <row r="273">
      <c r="A273" s="1" t="s">
        <v>317</v>
      </c>
      <c r="B273" s="1" t="s">
        <v>1751</v>
      </c>
      <c r="C273" s="13" t="s">
        <v>479</v>
      </c>
      <c r="D273" s="14" t="s">
        <v>67</v>
      </c>
      <c r="E273" s="14" t="s">
        <v>67</v>
      </c>
      <c r="F273" s="7" t="inlineStr">
        <is>
          <t>Further research required if this item is used in the project. USER-REQUESTED HYPOTHETICAL EXAMPLE: 20 W (0.02 kW). Illustrative ten-radio rack: assumed 2 W local charger/battery loss per slot ×10 =20 W; stored energy excluded. Assumed for illustration, not sourced or project-approved. Sensible/latent split unverified. TO COMPLETE: Radio/battery/charger models and slot count; charging-stage losses and battery heat; simultaneous charging schedule. Need radio/battery count, charge profile and charger loss; wireless-microphone charging racks are a different product. Reference link is supporting method/product context only; no numeric room-heat value established. D/E remain unknown; use documented project inputs in Room worksheet I:M once resolved.</t>
        </is>
      </c>
      <c r="G273" s="18" t="s">
        <v>616</v>
      </c>
      <c r="H273" s="19" t="s">
        <v>616</v>
      </c>
      <c r="I273" s="1" t="s">
        <v>617</v>
      </c>
      <c r="J273" s="1" t="s">
        <v>1753</v>
      </c>
      <c r="K273" s="1" t="s">
        <v>1754</v>
      </c>
      <c r="L273" s="11" t="s">
        <v>1696</v>
      </c>
      <c r="M273" s="1" t="s">
        <v>621</v>
      </c>
      <c r="N273" s="1" t="s">
        <v>582</v>
      </c>
      <c r="O273" s="1" t="s">
        <v>606</v>
      </c>
      <c r="P273" s="1" t="s">
        <v>486</v>
      </c>
      <c r="Q273" s="1" t="s">
        <v>486</v>
      </c>
      <c r="R273" s="1" t="s">
        <v>43</v>
      </c>
      <c r="S273" s="1" t="s">
        <v>1755</v>
      </c>
      <c r="T273" s="1" t="s">
        <v>617</v>
      </c>
      <c r="U273" s="1" t="s">
        <v>1698</v>
      </c>
      <c r="V273" s="1" t="s">
        <v>200</v>
      </c>
      <c r="W273" s="1" t="s">
        <v>1756</v>
      </c>
      <c r="X273" s="1" t="s">
        <v>398</v>
      </c>
      <c r="Y273" s="1" t="s">
        <v>399</v>
      </c>
      <c r="Z273" s="1" t="s">
        <v>50</v>
      </c>
      <c r="AA273" s="16">
        <v>20.0</v>
      </c>
      <c r="AB273" s="16">
        <f t="shared" si="2"/>
        <v>0.02</v>
      </c>
      <c r="AC273" s="17" t="s">
        <v>623</v>
      </c>
      <c r="AD273" s="17" t="inlineStr">
        <is>
          <t>Further research required if this item is used in the project. Illustrative ten-radio rack: assumed 2 W local charger/battery loss per slot ×10 =20 W; stored energy excluded. REQUIRED: Radio/battery/charger models and slot count; charging-stage losses and battery heat; simultaneous charging schedule.</t>
        </is>
      </c>
      <c r="AE273" s="97" t="str">
        <v>EQ-0268</v>
      </c>
      <c r="AF273" s="98" t="str">
        <v>two-way radio charging rack</v>
      </c>
      <c r="AG273" s="98" t="str">
        <v>REFERENCE_ONLY</v>
      </c>
      <c r="AH273" s="98" t="str">
        <v>Do not auto-use reference wattage. Resolve the missing heat data or document a project estimate.</v>
      </c>
    </row>
    <row r="274">
      <c r="A274" s="1" t="s">
        <v>317</v>
      </c>
      <c r="B274" s="1" t="s">
        <v>1758</v>
      </c>
      <c r="C274" s="13" t="s">
        <v>129</v>
      </c>
      <c r="D274" s="14">
        <v>6.8</v>
      </c>
      <c r="E274" s="14">
        <v>0.0</v>
      </c>
      <c r="F274" s="13" t="s">
        <v>1759</v>
      </c>
      <c r="G274" s="18">
        <v>6.8</v>
      </c>
      <c r="H274" s="19">
        <f t="shared" ref="H274:H278" si="19">G274/1000</f>
        <v>0.0068</v>
      </c>
      <c r="I274" s="1" t="s">
        <v>1760</v>
      </c>
      <c r="J274" s="1" t="s">
        <v>1761</v>
      </c>
      <c r="K274" s="1" t="s">
        <v>1762</v>
      </c>
      <c r="L274" s="11" t="s">
        <v>1763</v>
      </c>
      <c r="M274" s="1" t="s">
        <v>778</v>
      </c>
      <c r="N274" s="1" t="s">
        <v>582</v>
      </c>
      <c r="O274" s="1">
        <v>6.8</v>
      </c>
      <c r="P274" s="1">
        <v>6.8</v>
      </c>
      <c r="Q274" s="1">
        <v>0.0</v>
      </c>
      <c r="R274" s="1" t="s">
        <v>43</v>
      </c>
      <c r="S274" s="1" t="s">
        <v>1764</v>
      </c>
      <c r="T274" s="1" t="s">
        <v>1760</v>
      </c>
      <c r="U274" s="1" t="s">
        <v>780</v>
      </c>
      <c r="V274" s="1" t="s">
        <v>46</v>
      </c>
      <c r="W274" s="1" t="s">
        <v>47</v>
      </c>
      <c r="X274" s="1" t="s">
        <v>174</v>
      </c>
      <c r="Y274" s="1" t="s">
        <v>175</v>
      </c>
      <c r="Z274" s="1" t="s">
        <v>50</v>
      </c>
      <c r="AA274" s="12">
        <v>6.8</v>
      </c>
      <c r="AB274" s="12">
        <f t="shared" si="2"/>
        <v>0.0068</v>
      </c>
      <c r="AC274" s="13" t="s">
        <v>51</v>
      </c>
      <c r="AD274" s="13" t="s">
        <v>1759</v>
      </c>
      <c r="AE274" s="97" t="str">
        <v>EQ-0269</v>
      </c>
      <c r="AF274" s="98" t="str">
        <v>radio base station</v>
      </c>
      <c r="AG274" s="98" t="str">
        <v>CONDITIONAL_MATCH</v>
      </c>
      <c r="AH274" s="98" t="str">
        <v>Match model or supported analogue, operating state, room allocation and all conditions in F. Use D/E only.</v>
      </c>
    </row>
    <row r="275">
      <c r="A275" s="1" t="s">
        <v>317</v>
      </c>
      <c r="B275" s="1" t="s">
        <v>1765</v>
      </c>
      <c r="C275" s="13" t="s">
        <v>129</v>
      </c>
      <c r="D275" s="14">
        <v>15.0</v>
      </c>
      <c r="E275" s="14">
        <v>0.0</v>
      </c>
      <c r="F275" s="13" t="s">
        <v>1766</v>
      </c>
      <c r="G275" s="18">
        <v>15.0</v>
      </c>
      <c r="H275" s="19">
        <f t="shared" si="19"/>
        <v>0.015</v>
      </c>
      <c r="I275" s="1" t="s">
        <v>1767</v>
      </c>
      <c r="J275" s="1" t="s">
        <v>1768</v>
      </c>
      <c r="K275" s="1" t="s">
        <v>1769</v>
      </c>
      <c r="L275" s="11" t="s">
        <v>1770</v>
      </c>
      <c r="M275" s="1" t="s">
        <v>459</v>
      </c>
      <c r="N275" s="1" t="s">
        <v>582</v>
      </c>
      <c r="O275" s="1">
        <v>15.0</v>
      </c>
      <c r="P275" s="1">
        <v>15.0</v>
      </c>
      <c r="Q275" s="1">
        <v>0.0</v>
      </c>
      <c r="R275" s="1" t="s">
        <v>43</v>
      </c>
      <c r="S275" s="1" t="s">
        <v>1771</v>
      </c>
      <c r="T275" s="1" t="s">
        <v>1767</v>
      </c>
      <c r="U275" s="1" t="s">
        <v>676</v>
      </c>
      <c r="V275" s="1" t="s">
        <v>46</v>
      </c>
      <c r="W275" s="1" t="s">
        <v>47</v>
      </c>
      <c r="X275" s="1" t="s">
        <v>48</v>
      </c>
      <c r="Y275" s="1" t="s">
        <v>49</v>
      </c>
      <c r="Z275" s="1" t="s">
        <v>50</v>
      </c>
      <c r="AA275" s="12">
        <v>15.0</v>
      </c>
      <c r="AB275" s="12">
        <f t="shared" si="2"/>
        <v>0.015</v>
      </c>
      <c r="AC275" s="13" t="s">
        <v>51</v>
      </c>
      <c r="AD275" s="13" t="s">
        <v>1766</v>
      </c>
      <c r="AE275" s="97" t="str">
        <v>EQ-0270</v>
      </c>
      <c r="AF275" s="98" t="str">
        <v>public address amplifier</v>
      </c>
      <c r="AG275" s="98" t="str">
        <v>CONDITIONAL_MATCH</v>
      </c>
      <c r="AH275" s="98" t="str">
        <v>Match model or supported analogue, operating state, room allocation and all conditions in F. Use D/E only.</v>
      </c>
    </row>
    <row r="276">
      <c r="A276" s="1" t="s">
        <v>1772</v>
      </c>
      <c r="B276" s="1" t="s">
        <v>1773</v>
      </c>
      <c r="C276" s="13" t="s">
        <v>1368</v>
      </c>
      <c r="D276" s="14" t="s">
        <v>67</v>
      </c>
      <c r="E276" s="14" t="s">
        <v>67</v>
      </c>
      <c r="F276" s="7" t="inlineStr">
        <is>
          <t>Further research required if this item is used in the project. NUMERIC EXAMPLE: 54.36 W (0.05436 kW); EXISTING REFERENCE — scope/state limits apply. TO COMPLETE: Indoor cable/EVSE loss allocation at selected charging current; vehicle onboard-charger and battery heat separately; actual vehicle presence. Total EVSE loss example includes test boundary/cable losses; allocate only portions inside room. Vehicle battery/onboard charger losses additional. Full-current loss140.64 W; no-vehicle2.43 W. US/Canada model, not Australian approval. D/E remain unknown; use documented project inputs in Room worksheet I:M once resolved.</t>
        </is>
      </c>
      <c r="G276" s="18">
        <v>54.36</v>
      </c>
      <c r="H276" s="19">
        <f t="shared" si="19"/>
        <v>0.05436</v>
      </c>
      <c r="I276" s="1" t="s">
        <v>1775</v>
      </c>
      <c r="J276" s="1" t="s">
        <v>1776</v>
      </c>
      <c r="K276" s="1" t="s">
        <v>1777</v>
      </c>
      <c r="L276" s="11" t="s">
        <v>1778</v>
      </c>
      <c r="M276" s="1" t="s">
        <v>459</v>
      </c>
      <c r="N276" s="1" t="s">
        <v>42</v>
      </c>
      <c r="O276" s="1" t="s">
        <v>606</v>
      </c>
      <c r="P276" s="1" t="s">
        <v>486</v>
      </c>
      <c r="Q276" s="1" t="s">
        <v>486</v>
      </c>
      <c r="R276" s="1" t="s">
        <v>43</v>
      </c>
      <c r="S276" s="1" t="s">
        <v>1779</v>
      </c>
      <c r="T276" s="1" t="s">
        <v>1775</v>
      </c>
      <c r="U276" s="1" t="s">
        <v>1451</v>
      </c>
      <c r="V276" s="1" t="s">
        <v>200</v>
      </c>
      <c r="W276" s="1" t="s">
        <v>1780</v>
      </c>
      <c r="X276" s="1" t="s">
        <v>398</v>
      </c>
      <c r="Y276" s="1" t="s">
        <v>399</v>
      </c>
      <c r="Z276" s="1" t="s">
        <v>50</v>
      </c>
      <c r="AA276" s="16">
        <v>54.36</v>
      </c>
      <c r="AB276" s="16">
        <f t="shared" si="2"/>
        <v>0.05436</v>
      </c>
      <c r="AC276" s="17" t="s">
        <v>201</v>
      </c>
      <c r="AD276" s="17" t="inlineStr">
        <is>
          <t>Further research required if this item is used in the project. ENERGY STAR measured total loss at240 V /30 A operation Total EVSE loss example includes test boundary/cable losses; allocate only portions inside room. Vehicle battery/onboard charger losses additional. Full-current loss140.64 W; no-vehicle2.43 W. US/Canada model, not Australian approval. This retains the original reference, including any unresolved source limitations; it is not newly validated net room heat. REQUIRED: Indoor cable/EVSE loss allocation at selected charging current; vehicle onboard-charger and battery heat separately; actual vehicle presence.</t>
        </is>
      </c>
      <c r="AE276" s="97" t="str">
        <v>EQ-0271</v>
      </c>
      <c r="AF276" s="98" t="str">
        <v>electric vehicle ac charger</v>
      </c>
      <c r="AG276" s="98" t="str">
        <v>REFERENCE_ONLY</v>
      </c>
      <c r="AH276" s="98" t="str">
        <v>Do not auto-use reference wattage. Resolve the missing heat data or document a project estimate.</v>
      </c>
    </row>
    <row r="277">
      <c r="A277" s="1" t="s">
        <v>1772</v>
      </c>
      <c r="B277" s="1" t="s">
        <v>1782</v>
      </c>
      <c r="C277" s="13" t="s">
        <v>35</v>
      </c>
      <c r="D277" s="14">
        <v>1184.21</v>
      </c>
      <c r="E277" s="14">
        <v>0.0</v>
      </c>
      <c r="F277" s="13" t="s">
        <v>1783</v>
      </c>
      <c r="G277" s="18">
        <v>1184.21</v>
      </c>
      <c r="H277" s="19">
        <f t="shared" si="19"/>
        <v>1.18421</v>
      </c>
      <c r="I277" s="1" t="s">
        <v>1784</v>
      </c>
      <c r="J277" s="1" t="s">
        <v>1785</v>
      </c>
      <c r="K277" s="1" t="s">
        <v>1786</v>
      </c>
      <c r="L277" s="11" t="s">
        <v>1787</v>
      </c>
      <c r="M277" s="1" t="s">
        <v>459</v>
      </c>
      <c r="N277" s="1" t="s">
        <v>42</v>
      </c>
      <c r="O277" s="1">
        <v>23684.21</v>
      </c>
      <c r="P277" s="1">
        <v>1184.21</v>
      </c>
      <c r="Q277" s="1">
        <v>0.0</v>
      </c>
      <c r="R277" s="1" t="s">
        <v>43</v>
      </c>
      <c r="S277" s="1" t="s">
        <v>1788</v>
      </c>
      <c r="T277" s="1" t="s">
        <v>1784</v>
      </c>
      <c r="U277" s="1" t="s">
        <v>461</v>
      </c>
      <c r="V277" s="1" t="s">
        <v>46</v>
      </c>
      <c r="W277" s="1" t="s">
        <v>47</v>
      </c>
      <c r="X277" s="1" t="s">
        <v>398</v>
      </c>
      <c r="Y277" s="1" t="s">
        <v>399</v>
      </c>
      <c r="Z277" s="1" t="s">
        <v>50</v>
      </c>
      <c r="AA277" s="12">
        <v>1184.21</v>
      </c>
      <c r="AB277" s="12">
        <f t="shared" si="2"/>
        <v>1.18421</v>
      </c>
      <c r="AC277" s="13" t="s">
        <v>51</v>
      </c>
      <c r="AD277" s="13" t="s">
        <v>1783</v>
      </c>
      <c r="AE277" s="97" t="str">
        <v>EQ-0272</v>
      </c>
      <c r="AF277" s="98" t="str">
        <v>electric vehicle dc fast charger</v>
      </c>
      <c r="AG277" s="98" t="str">
        <v>CONDITIONAL_MATCH</v>
      </c>
      <c r="AH277" s="98" t="str">
        <v>Match model or supported analogue, operating state, room allocation and all conditions in F. Use D/E only.</v>
      </c>
    </row>
    <row r="278">
      <c r="A278" s="1" t="s">
        <v>1789</v>
      </c>
      <c r="B278" s="1" t="s">
        <v>1790</v>
      </c>
      <c r="C278" s="13" t="s">
        <v>129</v>
      </c>
      <c r="D278" s="14">
        <v>20.0</v>
      </c>
      <c r="E278" s="14">
        <v>0.0</v>
      </c>
      <c r="F278" s="13" t="s">
        <v>1791</v>
      </c>
      <c r="G278" s="18">
        <v>20.0</v>
      </c>
      <c r="H278" s="19">
        <f t="shared" si="19"/>
        <v>0.02</v>
      </c>
      <c r="I278" s="1" t="s">
        <v>1792</v>
      </c>
      <c r="J278" s="1" t="s">
        <v>1793</v>
      </c>
      <c r="K278" s="1" t="s">
        <v>1794</v>
      </c>
      <c r="L278" s="11" t="s">
        <v>1795</v>
      </c>
      <c r="M278" s="1" t="s">
        <v>459</v>
      </c>
      <c r="N278" s="1" t="s">
        <v>42</v>
      </c>
      <c r="O278" s="1">
        <v>20.0</v>
      </c>
      <c r="P278" s="1">
        <v>20.0</v>
      </c>
      <c r="Q278" s="1">
        <v>0.0</v>
      </c>
      <c r="R278" s="1" t="s">
        <v>43</v>
      </c>
      <c r="S278" s="1" t="s">
        <v>1796</v>
      </c>
      <c r="T278" s="1" t="s">
        <v>1792</v>
      </c>
      <c r="U278" s="1" t="s">
        <v>1741</v>
      </c>
      <c r="V278" s="1" t="s">
        <v>46</v>
      </c>
      <c r="W278" s="1" t="s">
        <v>47</v>
      </c>
      <c r="X278" s="1" t="s">
        <v>48</v>
      </c>
      <c r="Y278" s="1" t="s">
        <v>49</v>
      </c>
      <c r="Z278" s="1" t="s">
        <v>50</v>
      </c>
      <c r="AA278" s="12">
        <v>20.0</v>
      </c>
      <c r="AB278" s="12">
        <f t="shared" si="2"/>
        <v>0.02</v>
      </c>
      <c r="AC278" s="13" t="s">
        <v>51</v>
      </c>
      <c r="AD278" s="13" t="s">
        <v>1791</v>
      </c>
      <c r="AE278" s="97" t="str">
        <v>EQ-0273</v>
      </c>
      <c r="AF278" s="98" t="str">
        <v>electric domestic hot-water unit</v>
      </c>
      <c r="AG278" s="98" t="str">
        <v>CONDITIONAL_MATCH</v>
      </c>
      <c r="AH278" s="98" t="str">
        <v>Match model or supported analogue, operating state, room allocation and all conditions in F. Use D/E only.</v>
      </c>
    </row>
    <row r="279">
      <c r="A279" s="1" t="s">
        <v>1789</v>
      </c>
      <c r="B279" s="1" t="s">
        <v>1797</v>
      </c>
      <c r="C279" s="13" t="s">
        <v>479</v>
      </c>
      <c r="D279" s="14" t="s">
        <v>67</v>
      </c>
      <c r="E279" s="14" t="s">
        <v>67</v>
      </c>
      <c r="F279" s="7" t="inlineStr">
        <is>
          <t>Further research required if this item is used in the project. USER-REQUESTED HYPOTHETICAL EXAMPLE: 100 W (0.1 kW). Illustrative instantaneous heater: assumed 10,000 W electrical input minus 9,900 W exported in hot water =100 W local casing/pipe heat; these powers are selected assumptions. Assumed for illustration, not sourced or project-approved. Sensible/latent split unverified. TO COMPLETE: Manufacturer casing and pipe heat losses at selected water temperatures and flow; location and demand schedule. Need casing/pipe losses and water-use conditions. Heating capacity predominantly leaves in hot water. Reference link is supporting method/product context only; no numeric room-heat value established. D/E remain unknown; use documented project inputs in Room worksheet I:M once resolved.</t>
        </is>
      </c>
      <c r="G279" s="18" t="s">
        <v>616</v>
      </c>
      <c r="H279" s="19" t="s">
        <v>616</v>
      </c>
      <c r="I279" s="1" t="s">
        <v>617</v>
      </c>
      <c r="J279" s="1" t="s">
        <v>1799</v>
      </c>
      <c r="K279" s="1" t="s">
        <v>1800</v>
      </c>
      <c r="L279" s="11" t="s">
        <v>58</v>
      </c>
      <c r="M279" s="1" t="s">
        <v>621</v>
      </c>
      <c r="N279" s="1" t="s">
        <v>42</v>
      </c>
      <c r="O279" s="1" t="s">
        <v>606</v>
      </c>
      <c r="P279" s="1" t="s">
        <v>486</v>
      </c>
      <c r="Q279" s="1" t="s">
        <v>486</v>
      </c>
      <c r="R279" s="1" t="s">
        <v>43</v>
      </c>
      <c r="S279" s="1" t="s">
        <v>1801</v>
      </c>
      <c r="T279" s="1" t="s">
        <v>617</v>
      </c>
      <c r="U279" s="1" t="s">
        <v>1698</v>
      </c>
      <c r="V279" s="1" t="s">
        <v>200</v>
      </c>
      <c r="W279" s="1" t="s">
        <v>1802</v>
      </c>
      <c r="X279" s="1" t="s">
        <v>48</v>
      </c>
      <c r="Y279" s="1" t="s">
        <v>49</v>
      </c>
      <c r="Z279" s="1" t="s">
        <v>50</v>
      </c>
      <c r="AA279" s="16">
        <v>100.0</v>
      </c>
      <c r="AB279" s="16">
        <f t="shared" si="2"/>
        <v>0.1</v>
      </c>
      <c r="AC279" s="17" t="s">
        <v>623</v>
      </c>
      <c r="AD279" s="17" t="inlineStr">
        <is>
          <t>Further research required if this item is used in the project. Illustrative instantaneous heater: assumed 10,000 W electrical input minus 9,900 W exported in hot water =100 W local casing/pipe heat; these powers are selected assumptions. REQUIRED: Manufacturer casing and pipe heat losses at selected water temperatures and flow; location and demand schedule.</t>
        </is>
      </c>
      <c r="AE279" s="97" t="str">
        <v>EQ-0274</v>
      </c>
      <c r="AF279" s="98" t="str">
        <v>electric instantaneous water heater</v>
      </c>
      <c r="AG279" s="98" t="str">
        <v>REFERENCE_ONLY</v>
      </c>
      <c r="AH279" s="98" t="str">
        <v>Do not auto-use reference wattage. Resolve the missing heat data or document a project estimate.</v>
      </c>
    </row>
    <row r="280">
      <c r="A280" s="1" t="s">
        <v>1789</v>
      </c>
      <c r="B280" s="1" t="s">
        <v>1804</v>
      </c>
      <c r="C280" s="7" t="s">
        <v>1805</v>
      </c>
      <c r="D280" s="8">
        <v>94.0</v>
      </c>
      <c r="E280" s="8">
        <v>0.0</v>
      </c>
      <c r="F280" s="7" t="s">
        <v>1806</v>
      </c>
      <c r="G280" s="18">
        <v>94.0</v>
      </c>
      <c r="H280" s="19">
        <f t="shared" ref="H280:H281" si="20">G280/1000</f>
        <v>0.094</v>
      </c>
      <c r="I280" s="1" t="s">
        <v>1807</v>
      </c>
      <c r="J280" s="1" t="s">
        <v>1806</v>
      </c>
      <c r="K280" s="1" t="s">
        <v>1808</v>
      </c>
      <c r="L280" s="11" t="s">
        <v>1809</v>
      </c>
      <c r="M280" s="1" t="s">
        <v>1810</v>
      </c>
      <c r="N280" s="1" t="s">
        <v>42</v>
      </c>
      <c r="O280" s="1">
        <v>94.0</v>
      </c>
      <c r="P280" s="1">
        <v>94.0</v>
      </c>
      <c r="Q280" s="1">
        <v>0.0</v>
      </c>
      <c r="R280" s="1" t="s">
        <v>43</v>
      </c>
      <c r="S280" s="1" t="s">
        <v>1811</v>
      </c>
      <c r="T280" s="1" t="s">
        <v>1807</v>
      </c>
      <c r="U280" s="1" t="s">
        <v>1812</v>
      </c>
      <c r="V280" s="1" t="s">
        <v>46</v>
      </c>
      <c r="W280" s="1" t="s">
        <v>47</v>
      </c>
      <c r="X280" s="1" t="s">
        <v>48</v>
      </c>
      <c r="Y280" s="1" t="s">
        <v>49</v>
      </c>
      <c r="Z280" s="1" t="s">
        <v>50</v>
      </c>
      <c r="AA280" s="12">
        <v>94.0</v>
      </c>
      <c r="AB280" s="12">
        <f t="shared" si="2"/>
        <v>0.094</v>
      </c>
      <c r="AC280" s="13" t="s">
        <v>51</v>
      </c>
      <c r="AD280" s="13" t="s">
        <v>1806</v>
      </c>
      <c r="AE280" s="97" t="str">
        <v>EQ-0275</v>
      </c>
      <c r="AF280" s="98" t="str">
        <v>electric towel rail</v>
      </c>
      <c r="AG280" s="98" t="str">
        <v>CONDITIONAL_MATCH</v>
      </c>
      <c r="AH280" s="98" t="str">
        <v>Match model or supported analogue, operating state, room allocation and all conditions in F. Use D/E only.</v>
      </c>
    </row>
    <row r="281">
      <c r="A281" s="1" t="s">
        <v>1789</v>
      </c>
      <c r="B281" s="1" t="s">
        <v>1813</v>
      </c>
      <c r="C281" s="13" t="s">
        <v>87</v>
      </c>
      <c r="D281" s="14">
        <v>2400.0</v>
      </c>
      <c r="E281" s="14">
        <v>0.0</v>
      </c>
      <c r="F281" s="13" t="s">
        <v>1814</v>
      </c>
      <c r="G281" s="18">
        <v>2400.0</v>
      </c>
      <c r="H281" s="19">
        <f t="shared" si="20"/>
        <v>2.4</v>
      </c>
      <c r="I281" s="1" t="s">
        <v>1815</v>
      </c>
      <c r="J281" s="1" t="s">
        <v>1816</v>
      </c>
      <c r="K281" s="1" t="s">
        <v>1817</v>
      </c>
      <c r="L281" s="11" t="s">
        <v>1818</v>
      </c>
      <c r="M281" s="1" t="s">
        <v>459</v>
      </c>
      <c r="N281" s="1" t="s">
        <v>42</v>
      </c>
      <c r="O281" s="1">
        <v>2400.0</v>
      </c>
      <c r="P281" s="1">
        <v>2400.0</v>
      </c>
      <c r="Q281" s="1">
        <v>0.0</v>
      </c>
      <c r="R281" s="1" t="s">
        <v>43</v>
      </c>
      <c r="S281" s="1" t="s">
        <v>1819</v>
      </c>
      <c r="T281" s="1" t="s">
        <v>1815</v>
      </c>
      <c r="U281" s="1" t="s">
        <v>676</v>
      </c>
      <c r="V281" s="1" t="s">
        <v>46</v>
      </c>
      <c r="W281" s="1" t="s">
        <v>47</v>
      </c>
      <c r="X281" s="1" t="s">
        <v>48</v>
      </c>
      <c r="Y281" s="1" t="s">
        <v>49</v>
      </c>
      <c r="Z281" s="1" t="s">
        <v>50</v>
      </c>
      <c r="AA281" s="12">
        <v>2400.0</v>
      </c>
      <c r="AB281" s="12">
        <f t="shared" si="2"/>
        <v>2.4</v>
      </c>
      <c r="AC281" s="13" t="s">
        <v>51</v>
      </c>
      <c r="AD281" s="13" t="s">
        <v>1814</v>
      </c>
      <c r="AE281" s="97" t="str">
        <v>EQ-0276</v>
      </c>
      <c r="AF281" s="98" t="str">
        <v>electric radiant panel heater</v>
      </c>
      <c r="AG281" s="98" t="str">
        <v>CONDITIONAL_MATCH</v>
      </c>
      <c r="AH281" s="98" t="str">
        <v>Match model or supported analogue, operating state, room allocation and all conditions in F. Use D/E only.</v>
      </c>
    </row>
    <row r="282">
      <c r="A282" s="1" t="s">
        <v>1789</v>
      </c>
      <c r="B282" s="1" t="s">
        <v>1820</v>
      </c>
      <c r="C282" s="13" t="s">
        <v>479</v>
      </c>
      <c r="D282" s="14" t="s">
        <v>67</v>
      </c>
      <c r="E282" s="14" t="s">
        <v>67</v>
      </c>
      <c r="F282" s="7" t="inlineStr">
        <is>
          <t>Further research required if this item is used in the project. NUMERIC EXAMPLE: 785 W (0.785 kW); ELECTRICAL INPUT — not established room heat. TO COMPLETE: Real input and moisture extraction rate at design air conditions; condensate temperature; signed sensible and latent effects. 785 W is a historical electrical/nameplate example, not verified usual use. A dehumidifier converts removed latent energy into sensible heat as well as adding electrical energy; need operating-point moisture extraction and input to establish sensible/latent effects. D/E remain unknown; use documented project inputs in Room worksheet I:M once resolved.</t>
        </is>
      </c>
      <c r="G282" s="18" t="s">
        <v>616</v>
      </c>
      <c r="H282" s="19" t="s">
        <v>616</v>
      </c>
      <c r="I282" s="1" t="s">
        <v>996</v>
      </c>
      <c r="J282" s="1" t="s">
        <v>1822</v>
      </c>
      <c r="K282" s="1" t="s">
        <v>998</v>
      </c>
      <c r="L282" s="11" t="s">
        <v>160</v>
      </c>
      <c r="M282" s="1" t="s">
        <v>485</v>
      </c>
      <c r="N282" s="1" t="s">
        <v>42</v>
      </c>
      <c r="O282" s="1">
        <v>785.0</v>
      </c>
      <c r="P282" s="1" t="s">
        <v>486</v>
      </c>
      <c r="Q282" s="1" t="s">
        <v>486</v>
      </c>
      <c r="R282" s="1" t="s">
        <v>43</v>
      </c>
      <c r="S282" s="1" t="s">
        <v>69</v>
      </c>
      <c r="T282" s="1" t="s">
        <v>996</v>
      </c>
      <c r="U282" s="1" t="s">
        <v>1823</v>
      </c>
      <c r="V282" s="1" t="s">
        <v>200</v>
      </c>
      <c r="W282" s="1" t="s">
        <v>1824</v>
      </c>
      <c r="X282" s="1" t="s">
        <v>48</v>
      </c>
      <c r="Y282" s="1" t="s">
        <v>49</v>
      </c>
      <c r="Z282" s="1" t="s">
        <v>50</v>
      </c>
      <c r="AA282" s="16">
        <v>785.0</v>
      </c>
      <c r="AB282" s="16">
        <f t="shared" si="2"/>
        <v>0.785</v>
      </c>
      <c r="AC282" s="17" t="s">
        <v>878</v>
      </c>
      <c r="AD282" s="17" t="inlineStr">
        <is>
          <t>Further research required if this item is used in the project. Existing electrical reference for Electric dehumidifier: 785 W. 785 W is a historical electrical/nameplate example, not verified usual use. A dehumidifier converts removed latent energy into sensible heat as well as adding electrical energy; need operating-point moisture extraction and input to establish sensible/latent effects. This is not a measured sensible/latent room load. Only a closed energy balance can justify equating it to eventual total heat; external steam, refrigerant, fluid, work, storage and exhaust can change that result. REQUIRED: Real input and moisture extraction rate at design air conditions; condensate temperature; signed sensible and latent effects.</t>
        </is>
      </c>
      <c r="AE282" s="97" t="str">
        <v>EQ-0277</v>
      </c>
      <c r="AF282" s="98" t="str">
        <v>electric dehumidifier</v>
      </c>
      <c r="AG282" s="98" t="str">
        <v>REFERENCE_ONLY</v>
      </c>
      <c r="AH282" s="98" t="str">
        <v>Do not auto-use reference wattage. Resolve the missing heat data or document a project estimate.</v>
      </c>
    </row>
    <row r="283">
      <c r="A283" s="1" t="s">
        <v>1789</v>
      </c>
      <c r="B283" s="1" t="s">
        <v>1826</v>
      </c>
      <c r="C283" s="13" t="s">
        <v>35</v>
      </c>
      <c r="D283" s="14">
        <v>27.0</v>
      </c>
      <c r="E283" s="14">
        <v>0.0</v>
      </c>
      <c r="F283" s="13" t="s">
        <v>1827</v>
      </c>
      <c r="G283" s="18">
        <v>27.0</v>
      </c>
      <c r="H283" s="19">
        <f t="shared" ref="H283:H284" si="21">G283/1000</f>
        <v>0.027</v>
      </c>
      <c r="I283" s="1" t="s">
        <v>1828</v>
      </c>
      <c r="J283" s="1" t="s">
        <v>1829</v>
      </c>
      <c r="K283" s="1" t="s">
        <v>1830</v>
      </c>
      <c r="L283" s="11" t="s">
        <v>1831</v>
      </c>
      <c r="M283" s="1" t="s">
        <v>524</v>
      </c>
      <c r="N283" s="1" t="s">
        <v>42</v>
      </c>
      <c r="O283" s="1">
        <v>27.0</v>
      </c>
      <c r="P283" s="1">
        <v>27.0</v>
      </c>
      <c r="Q283" s="1">
        <v>0.0</v>
      </c>
      <c r="R283" s="1" t="s">
        <v>43</v>
      </c>
      <c r="S283" s="1" t="s">
        <v>1832</v>
      </c>
      <c r="T283" s="1" t="s">
        <v>1828</v>
      </c>
      <c r="U283" s="1" t="s">
        <v>559</v>
      </c>
      <c r="V283" s="1" t="s">
        <v>46</v>
      </c>
      <c r="W283" s="1" t="s">
        <v>47</v>
      </c>
      <c r="X283" s="1" t="s">
        <v>48</v>
      </c>
      <c r="Y283" s="1" t="s">
        <v>49</v>
      </c>
      <c r="Z283" s="1" t="s">
        <v>50</v>
      </c>
      <c r="AA283" s="12">
        <v>27.0</v>
      </c>
      <c r="AB283" s="12">
        <f t="shared" si="2"/>
        <v>0.027</v>
      </c>
      <c r="AC283" s="13" t="s">
        <v>51</v>
      </c>
      <c r="AD283" s="13" t="s">
        <v>1827</v>
      </c>
      <c r="AE283" s="97" t="str">
        <v>EQ-0278</v>
      </c>
      <c r="AF283" s="98" t="str">
        <v>portable air purifier</v>
      </c>
      <c r="AG283" s="98" t="str">
        <v>CONDITIONAL_MATCH</v>
      </c>
      <c r="AH283" s="98" t="str">
        <v>Match model or supported analogue, operating state, room allocation and all conditions in F. Use D/E only.</v>
      </c>
    </row>
    <row r="284">
      <c r="A284" s="1" t="s">
        <v>1789</v>
      </c>
      <c r="B284" s="1" t="s">
        <v>1833</v>
      </c>
      <c r="C284" s="13" t="s">
        <v>442</v>
      </c>
      <c r="D284" s="14" t="s">
        <v>67</v>
      </c>
      <c r="E284" s="14" t="s">
        <v>67</v>
      </c>
      <c r="F284" s="7" t="inlineStr">
        <is>
          <t>Further research required if this item is used in the project. NUMERIC EXAMPLE: 15 W (0.015 kW); EXISTING REFERENCE — scope/state limits apply. TO COMPLETE: Actual evaporation rate and inlet-water temperature; signed sensible cooling and latent addition; room moisture balance. Existing worksheet rejects negative inputs, so do not force a signed process into it. 15 W is NET TOTAL electrical-energy contribution if water enters at room temperature, no energy storage change and all output stays indoors. NOT 15 W sensible heat: evaporation cools air while adding latent moisture load. Manufacturer humidification test: 250 ml/h at 23±2°C, 30±2% RH; actual rate varies. Sensible/latent split unresolved; not a steam-humidifier example. D/E remain unknown; use documented project inputs in Room worksheet I:M once resolved.</t>
        </is>
      </c>
      <c r="G284" s="18">
        <v>15.0</v>
      </c>
      <c r="H284" s="19">
        <f t="shared" si="21"/>
        <v>0.015</v>
      </c>
      <c r="I284" s="1" t="s">
        <v>1835</v>
      </c>
      <c r="J284" s="1" t="s">
        <v>1836</v>
      </c>
      <c r="K284" s="1" t="s">
        <v>1837</v>
      </c>
      <c r="L284" s="11" t="s">
        <v>1838</v>
      </c>
      <c r="M284" s="1" t="s">
        <v>778</v>
      </c>
      <c r="N284" s="1" t="s">
        <v>42</v>
      </c>
      <c r="O284" s="1">
        <v>15.0</v>
      </c>
      <c r="P284" s="1" t="s">
        <v>1839</v>
      </c>
      <c r="Q284" s="1" t="s">
        <v>1840</v>
      </c>
      <c r="R284" s="1" t="s">
        <v>43</v>
      </c>
      <c r="S284" s="1" t="s">
        <v>1841</v>
      </c>
      <c r="T284" s="1" t="s">
        <v>1835</v>
      </c>
      <c r="U284" s="1" t="s">
        <v>780</v>
      </c>
      <c r="V284" s="1" t="s">
        <v>200</v>
      </c>
      <c r="W284" s="1" t="s">
        <v>1842</v>
      </c>
      <c r="X284" s="1" t="s">
        <v>48</v>
      </c>
      <c r="Y284" s="1" t="s">
        <v>49</v>
      </c>
      <c r="Z284" s="1" t="s">
        <v>50</v>
      </c>
      <c r="AA284" s="16">
        <v>15.0</v>
      </c>
      <c r="AB284" s="16">
        <f t="shared" si="2"/>
        <v>0.015</v>
      </c>
      <c r="AC284" s="17" t="s">
        <v>201</v>
      </c>
      <c r="AD284" s="17" t="inlineStr">
        <is>
          <t>Further research required if this item is used in the project. Conditional net total electrical heat contribution at maximum 15 W input 15 W is NET TOTAL electrical-energy contribution if water enters at room temperature, no energy storage change and all output stays indoors. NOT 15 W sensible heat: evaporation cools air while adding latent moisture load. Manufacturer humidification test: 250 ml/h at 23±2°C, 30±2% RH; actual rate varies. Sensible/latent split unresolved; not a steam-humidifier example. This retains the original reference, including any unresolved source limitations; it is not newly validated net room heat. REQUIRED: Actual evaporation rate and inlet-water temperature; signed sensible cooling and latent addition; room moisture balance. Existing worksheet rejects negative inputs, so do not force a signed process into it.</t>
        </is>
      </c>
      <c r="AE284" s="97" t="str">
        <v>EQ-0279</v>
      </c>
      <c r="AF284" s="98" t="str">
        <v>humidifier</v>
      </c>
      <c r="AG284" s="98" t="str">
        <v>REFERENCE_ONLY</v>
      </c>
      <c r="AH284" s="98" t="str">
        <v>Do not auto-use reference wattage. Resolve the missing heat data or document a project estimate.</v>
      </c>
    </row>
    <row r="285">
      <c r="A285" s="1" t="s">
        <v>1789</v>
      </c>
      <c r="B285" s="1" t="s">
        <v>1844</v>
      </c>
      <c r="C285" s="13" t="s">
        <v>479</v>
      </c>
      <c r="D285" s="14" t="s">
        <v>67</v>
      </c>
      <c r="E285" s="14" t="s">
        <v>67</v>
      </c>
      <c r="F285" s="7" t="inlineStr">
        <is>
          <t>Further research required if this item is used in the project. NUMERIC EXAMPLE: 6.4 W (0.0064 kW); ELECTRICAL INPUT — not established room heat. TO COMPLETE: Fan operating point, real input and motor position relative to exhaust; local versus discharged heat; makeup-air load separately. US exhaust fan at 50 CFM/0.1 inch w.g.; 6.4 W input. Exhaust removes fan heat; not automatically room sensible gain. Confirm regional voltage. D/E remain unknown; use documented project inputs in Room worksheet I:M once resolved.</t>
        </is>
      </c>
      <c r="G285" s="18" t="s">
        <v>616</v>
      </c>
      <c r="H285" s="19" t="s">
        <v>616</v>
      </c>
      <c r="I285" s="1" t="s">
        <v>1042</v>
      </c>
      <c r="J285" s="1" t="s">
        <v>1846</v>
      </c>
      <c r="K285" s="1" t="s">
        <v>1847</v>
      </c>
      <c r="L285" s="11" t="s">
        <v>1848</v>
      </c>
      <c r="M285" s="1" t="s">
        <v>485</v>
      </c>
      <c r="N285" s="1" t="s">
        <v>42</v>
      </c>
      <c r="O285" s="1">
        <v>6.4</v>
      </c>
      <c r="P285" s="1" t="s">
        <v>486</v>
      </c>
      <c r="Q285" s="1" t="s">
        <v>486</v>
      </c>
      <c r="R285" s="1" t="s">
        <v>43</v>
      </c>
      <c r="S285" s="1" t="s">
        <v>1849</v>
      </c>
      <c r="T285" s="1" t="s">
        <v>1042</v>
      </c>
      <c r="U285" s="1" t="s">
        <v>1717</v>
      </c>
      <c r="V285" s="1" t="s">
        <v>200</v>
      </c>
      <c r="W285" s="1" t="s">
        <v>1850</v>
      </c>
      <c r="X285" s="1" t="s">
        <v>152</v>
      </c>
      <c r="Y285" s="1" t="s">
        <v>153</v>
      </c>
      <c r="Z285" s="1" t="s">
        <v>50</v>
      </c>
      <c r="AA285" s="16">
        <v>6.4</v>
      </c>
      <c r="AB285" s="16">
        <f t="shared" si="2"/>
        <v>0.0064</v>
      </c>
      <c r="AC285" s="17" t="s">
        <v>878</v>
      </c>
      <c r="AD285" s="17" t="inlineStr">
        <is>
          <t>Further research required if this item is used in the project. Existing electrical reference for Standalone ventilation fan: 6.4 W. US exhaust fan at 50 CFM/0.1 inch w.g.; 6.4 W input. Exhaust removes fan heat; not automatically room sensible gain. Confirm regional voltage. This is not a measured sensible/latent room load. Only a closed energy balance can justify equating it to eventual total heat; external steam, refrigerant, fluid, work, storage and exhaust can change that result. REQUIRED: Fan operating point, real input and motor position relative to exhaust; local versus discharged heat; makeup-air load separately.</t>
        </is>
      </c>
      <c r="AE285" s="97" t="str">
        <v>EQ-0280</v>
      </c>
      <c r="AF285" s="98" t="str">
        <v>standalone ventilation fan</v>
      </c>
      <c r="AG285" s="98" t="str">
        <v>REFERENCE_ONLY</v>
      </c>
      <c r="AH285" s="98" t="str">
        <v>Do not auto-use reference wattage. Resolve the missing heat data or document a project estimate.</v>
      </c>
    </row>
    <row r="286">
      <c r="A286" s="1" t="s">
        <v>1789</v>
      </c>
      <c r="B286" s="1" t="s">
        <v>1852</v>
      </c>
      <c r="C286" s="13" t="s">
        <v>479</v>
      </c>
      <c r="D286" s="14" t="s">
        <v>67</v>
      </c>
      <c r="E286" s="14" t="s">
        <v>67</v>
      </c>
      <c r="F286" s="7" t="inlineStr">
        <is>
          <t>Further research required if this item is used in the project. USER-REQUESTED HYPOTHETICAL EXAMPLE: 20 W (0.02 kW). Illustrative small pump: assumed 100 W input with 80 W exported via fluid and 20 W local loss; actual pump/flow/head not selected. Assumed for illustration, not sourced or project-approved. Sensible/latent split unverified. TO COMPLETE: Selected pump, flow/head, real input and local motor loss; fluid energy destination and duty. Need pump model, real draw, operating point and fluid/system heat boundary. Reference link is supporting method/product context only; no numeric room-heat value established. D/E remain unknown; use documented project inputs in Room worksheet I:M once resolved.</t>
        </is>
      </c>
      <c r="G286" s="18" t="s">
        <v>616</v>
      </c>
      <c r="H286" s="19" t="s">
        <v>616</v>
      </c>
      <c r="I286" s="1" t="s">
        <v>617</v>
      </c>
      <c r="J286" s="1" t="s">
        <v>1854</v>
      </c>
      <c r="K286" s="1" t="s">
        <v>1855</v>
      </c>
      <c r="L286" s="11" t="s">
        <v>58</v>
      </c>
      <c r="M286" s="1" t="s">
        <v>621</v>
      </c>
      <c r="N286" s="1" t="s">
        <v>42</v>
      </c>
      <c r="O286" s="1" t="s">
        <v>606</v>
      </c>
      <c r="P286" s="1" t="s">
        <v>486</v>
      </c>
      <c r="Q286" s="1" t="s">
        <v>486</v>
      </c>
      <c r="R286" s="1" t="s">
        <v>43</v>
      </c>
      <c r="S286" s="1" t="s">
        <v>1856</v>
      </c>
      <c r="T286" s="1" t="s">
        <v>617</v>
      </c>
      <c r="U286" s="1" t="s">
        <v>1698</v>
      </c>
      <c r="V286" s="1" t="s">
        <v>200</v>
      </c>
      <c r="W286" s="1" t="s">
        <v>1857</v>
      </c>
      <c r="X286" s="1" t="s">
        <v>48</v>
      </c>
      <c r="Y286" s="1" t="s">
        <v>49</v>
      </c>
      <c r="Z286" s="1" t="s">
        <v>50</v>
      </c>
      <c r="AA286" s="16">
        <v>20.0</v>
      </c>
      <c r="AB286" s="16">
        <f t="shared" si="2"/>
        <v>0.02</v>
      </c>
      <c r="AC286" s="17" t="s">
        <v>623</v>
      </c>
      <c r="AD286" s="17" t="inlineStr">
        <is>
          <t>Further research required if this item is used in the project. Illustrative small pump: assumed 100 W input with 80 W exported via fluid and 20 W local loss; actual pump/flow/head not selected. REQUIRED: Selected pump, flow/head, real input and local motor loss; fluid energy destination and duty.</t>
        </is>
      </c>
      <c r="AE286" s="97" t="str">
        <v>EQ-0281</v>
      </c>
      <c r="AF286" s="98" t="str">
        <v>small electric pump</v>
      </c>
      <c r="AG286" s="98" t="str">
        <v>REFERENCE_ONLY</v>
      </c>
      <c r="AH286" s="98" t="str">
        <v>Do not auto-use reference wattage. Resolve the missing heat data or document a project estimate.</v>
      </c>
    </row>
    <row r="287">
      <c r="A287" s="1" t="s">
        <v>1789</v>
      </c>
      <c r="B287" s="1" t="s">
        <v>1859</v>
      </c>
      <c r="C287" s="13" t="s">
        <v>129</v>
      </c>
      <c r="D287" s="14">
        <v>25.8</v>
      </c>
      <c r="E287" s="14">
        <v>0.0</v>
      </c>
      <c r="F287" s="13" t="s">
        <v>1860</v>
      </c>
      <c r="G287" s="18">
        <v>25.8</v>
      </c>
      <c r="H287" s="19">
        <f t="shared" ref="H287:H298" si="22">G287/1000</f>
        <v>0.0258</v>
      </c>
      <c r="I287" s="1" t="s">
        <v>1861</v>
      </c>
      <c r="J287" s="1" t="s">
        <v>1862</v>
      </c>
      <c r="K287" s="1" t="s">
        <v>1863</v>
      </c>
      <c r="L287" s="11" t="s">
        <v>1864</v>
      </c>
      <c r="M287" s="1" t="s">
        <v>459</v>
      </c>
      <c r="N287" s="1" t="s">
        <v>42</v>
      </c>
      <c r="O287" s="1">
        <v>25.8</v>
      </c>
      <c r="P287" s="1">
        <v>25.8</v>
      </c>
      <c r="Q287" s="1">
        <v>0.0</v>
      </c>
      <c r="R287" s="1" t="s">
        <v>43</v>
      </c>
      <c r="S287" s="1" t="s">
        <v>1865</v>
      </c>
      <c r="T287" s="1" t="s">
        <v>1861</v>
      </c>
      <c r="U287" s="1" t="s">
        <v>676</v>
      </c>
      <c r="V287" s="1" t="s">
        <v>46</v>
      </c>
      <c r="W287" s="1" t="s">
        <v>47</v>
      </c>
      <c r="X287" s="1" t="s">
        <v>398</v>
      </c>
      <c r="Y287" s="1" t="s">
        <v>399</v>
      </c>
      <c r="Z287" s="1" t="s">
        <v>50</v>
      </c>
      <c r="AA287" s="12">
        <v>25.8</v>
      </c>
      <c r="AB287" s="12">
        <f t="shared" si="2"/>
        <v>0.0258</v>
      </c>
      <c r="AC287" s="13" t="s">
        <v>51</v>
      </c>
      <c r="AD287" s="13" t="s">
        <v>1860</v>
      </c>
      <c r="AE287" s="97" t="str">
        <v>EQ-0282</v>
      </c>
      <c r="AF287" s="98" t="str">
        <v>battery energy storage inverter</v>
      </c>
      <c r="AG287" s="98" t="str">
        <v>CONDITIONAL_MATCH</v>
      </c>
      <c r="AH287" s="98" t="str">
        <v>Match model or supported analogue, operating state, room allocation and all conditions in F. Use D/E only.</v>
      </c>
    </row>
    <row r="288">
      <c r="A288" s="1" t="s">
        <v>1866</v>
      </c>
      <c r="B288" s="1" t="s">
        <v>1867</v>
      </c>
      <c r="C288" s="13" t="s">
        <v>35</v>
      </c>
      <c r="D288" s="14">
        <v>10200.0</v>
      </c>
      <c r="E288" s="14">
        <v>0.0</v>
      </c>
      <c r="F288" s="13" t="s">
        <v>1868</v>
      </c>
      <c r="G288" s="18">
        <v>10200.0</v>
      </c>
      <c r="H288" s="19">
        <f t="shared" si="22"/>
        <v>10.2</v>
      </c>
      <c r="I288" s="1" t="s">
        <v>1869</v>
      </c>
      <c r="J288" s="1" t="s">
        <v>1870</v>
      </c>
      <c r="K288" s="1" t="s">
        <v>1871</v>
      </c>
      <c r="L288" s="11" t="s">
        <v>1872</v>
      </c>
      <c r="M288" s="1" t="s">
        <v>524</v>
      </c>
      <c r="N288" s="1" t="s">
        <v>42</v>
      </c>
      <c r="O288" s="1">
        <v>10200.0</v>
      </c>
      <c r="P288" s="1">
        <v>10200.0</v>
      </c>
      <c r="Q288" s="1">
        <v>0.0</v>
      </c>
      <c r="R288" s="1" t="s">
        <v>1866</v>
      </c>
      <c r="S288" s="1" t="s">
        <v>1873</v>
      </c>
      <c r="T288" s="1" t="s">
        <v>1869</v>
      </c>
      <c r="U288" s="1" t="s">
        <v>559</v>
      </c>
      <c r="V288" s="1" t="s">
        <v>46</v>
      </c>
      <c r="W288" s="1" t="s">
        <v>47</v>
      </c>
      <c r="X288" s="1" t="s">
        <v>591</v>
      </c>
      <c r="Y288" s="1" t="s">
        <v>592</v>
      </c>
      <c r="Z288" s="1" t="s">
        <v>50</v>
      </c>
      <c r="AA288" s="12">
        <v>10200.0</v>
      </c>
      <c r="AB288" s="12">
        <f t="shared" si="2"/>
        <v>10.2</v>
      </c>
      <c r="AC288" s="13" t="s">
        <v>51</v>
      </c>
      <c r="AD288" s="13" t="s">
        <v>1868</v>
      </c>
      <c r="AE288" s="97" t="str">
        <v>EQ-0283</v>
      </c>
      <c r="AF288" s="98" t="str">
        <v>high-density gpu compute server</v>
      </c>
      <c r="AG288" s="98" t="str">
        <v>CONDITIONAL_MATCH</v>
      </c>
      <c r="AH288" s="98" t="str">
        <v>Match model or supported analogue, operating state, room allocation and all conditions in F. Use D/E only.</v>
      </c>
    </row>
    <row r="289">
      <c r="A289" s="1" t="s">
        <v>1866</v>
      </c>
      <c r="B289" s="1" t="s">
        <v>1874</v>
      </c>
      <c r="C289" s="13" t="s">
        <v>35</v>
      </c>
      <c r="D289" s="14">
        <v>10200.0</v>
      </c>
      <c r="E289" s="14">
        <v>0.0</v>
      </c>
      <c r="F289" s="13" t="s">
        <v>1868</v>
      </c>
      <c r="G289" s="18">
        <v>10200.0</v>
      </c>
      <c r="H289" s="19">
        <f t="shared" si="22"/>
        <v>10.2</v>
      </c>
      <c r="I289" s="1" t="s">
        <v>1869</v>
      </c>
      <c r="J289" s="1" t="s">
        <v>1870</v>
      </c>
      <c r="K289" s="1" t="s">
        <v>1871</v>
      </c>
      <c r="L289" s="11" t="s">
        <v>1872</v>
      </c>
      <c r="M289" s="1" t="s">
        <v>524</v>
      </c>
      <c r="N289" s="1" t="s">
        <v>42</v>
      </c>
      <c r="O289" s="1">
        <v>10200.0</v>
      </c>
      <c r="P289" s="1">
        <v>10200.0</v>
      </c>
      <c r="Q289" s="1">
        <v>0.0</v>
      </c>
      <c r="R289" s="1" t="s">
        <v>1866</v>
      </c>
      <c r="S289" s="1" t="s">
        <v>1873</v>
      </c>
      <c r="T289" s="1" t="s">
        <v>1869</v>
      </c>
      <c r="U289" s="1" t="s">
        <v>559</v>
      </c>
      <c r="V289" s="1" t="s">
        <v>46</v>
      </c>
      <c r="W289" s="1" t="s">
        <v>47</v>
      </c>
      <c r="X289" s="1" t="s">
        <v>591</v>
      </c>
      <c r="Y289" s="1" t="s">
        <v>592</v>
      </c>
      <c r="Z289" s="1" t="s">
        <v>50</v>
      </c>
      <c r="AA289" s="12">
        <v>10200.0</v>
      </c>
      <c r="AB289" s="12">
        <f t="shared" si="2"/>
        <v>10.2</v>
      </c>
      <c r="AC289" s="13" t="s">
        <v>51</v>
      </c>
      <c r="AD289" s="13" t="s">
        <v>1868</v>
      </c>
      <c r="AE289" s="97" t="str">
        <v>EQ-0284</v>
      </c>
      <c r="AF289" s="98" t="str">
        <v>ai accelerator server</v>
      </c>
      <c r="AG289" s="98" t="str">
        <v>CONDITIONAL_MATCH</v>
      </c>
      <c r="AH289" s="98" t="str">
        <v>Match model or supported analogue, operating state, room allocation and all conditions in F. Use D/E only.</v>
      </c>
    </row>
    <row r="290">
      <c r="A290" s="1" t="s">
        <v>1866</v>
      </c>
      <c r="B290" s="1" t="s">
        <v>1875</v>
      </c>
      <c r="C290" s="13" t="s">
        <v>87</v>
      </c>
      <c r="D290" s="14">
        <v>3565.0</v>
      </c>
      <c r="E290" s="14">
        <v>0.0</v>
      </c>
      <c r="F290" s="13" t="s">
        <v>1876</v>
      </c>
      <c r="G290" s="18">
        <v>3565.0</v>
      </c>
      <c r="H290" s="19">
        <f t="shared" si="22"/>
        <v>3.565</v>
      </c>
      <c r="I290" s="1" t="s">
        <v>1877</v>
      </c>
      <c r="J290" s="1" t="s">
        <v>1878</v>
      </c>
      <c r="K290" s="1" t="s">
        <v>1879</v>
      </c>
      <c r="L290" s="11" t="s">
        <v>1880</v>
      </c>
      <c r="M290" s="1" t="s">
        <v>1336</v>
      </c>
      <c r="N290" s="1" t="s">
        <v>42</v>
      </c>
      <c r="O290" s="1" t="s">
        <v>486</v>
      </c>
      <c r="P290" s="1" t="s">
        <v>486</v>
      </c>
      <c r="Q290" s="1" t="s">
        <v>486</v>
      </c>
      <c r="R290" s="1" t="s">
        <v>1866</v>
      </c>
      <c r="S290" s="1" t="s">
        <v>1881</v>
      </c>
      <c r="T290" s="1" t="s">
        <v>1882</v>
      </c>
      <c r="U290" s="1" t="s">
        <v>1339</v>
      </c>
      <c r="V290" s="1" t="s">
        <v>46</v>
      </c>
      <c r="W290" s="1" t="s">
        <v>47</v>
      </c>
      <c r="X290" s="1" t="s">
        <v>591</v>
      </c>
      <c r="Y290" s="1" t="s">
        <v>592</v>
      </c>
      <c r="Z290" s="1" t="s">
        <v>50</v>
      </c>
      <c r="AA290" s="12">
        <v>3565.0</v>
      </c>
      <c r="AB290" s="12">
        <f t="shared" si="2"/>
        <v>3.565</v>
      </c>
      <c r="AC290" s="13" t="s">
        <v>51</v>
      </c>
      <c r="AD290" s="13" t="s">
        <v>1876</v>
      </c>
      <c r="AE290" s="97" t="str">
        <v>EQ-0285</v>
      </c>
      <c r="AF290" s="98" t="str">
        <v>blade server chassis</v>
      </c>
      <c r="AG290" s="98" t="str">
        <v>CONDITIONAL_MATCH</v>
      </c>
      <c r="AH290" s="98" t="str">
        <v>Match model or supported analogue, operating state, room allocation and all conditions in F. Use D/E only.</v>
      </c>
    </row>
    <row r="291">
      <c r="A291" s="1" t="s">
        <v>1866</v>
      </c>
      <c r="B291" s="1" t="s">
        <v>1883</v>
      </c>
      <c r="C291" s="13" t="s">
        <v>87</v>
      </c>
      <c r="D291" s="14">
        <v>114.86</v>
      </c>
      <c r="E291" s="14">
        <v>0.0</v>
      </c>
      <c r="F291" s="13" t="s">
        <v>1884</v>
      </c>
      <c r="G291" s="18">
        <v>114.86</v>
      </c>
      <c r="H291" s="19">
        <f t="shared" si="22"/>
        <v>0.11486</v>
      </c>
      <c r="I291" s="1" t="s">
        <v>1885</v>
      </c>
      <c r="J291" s="1" t="s">
        <v>1886</v>
      </c>
      <c r="K291" s="1" t="s">
        <v>1887</v>
      </c>
      <c r="L291" s="11" t="s">
        <v>1888</v>
      </c>
      <c r="M291" s="1" t="s">
        <v>459</v>
      </c>
      <c r="N291" s="1" t="s">
        <v>42</v>
      </c>
      <c r="O291" s="1">
        <v>114.86</v>
      </c>
      <c r="P291" s="1">
        <v>114.86</v>
      </c>
      <c r="Q291" s="1">
        <v>0.0</v>
      </c>
      <c r="R291" s="1" t="s">
        <v>1866</v>
      </c>
      <c r="S291" s="1" t="s">
        <v>1889</v>
      </c>
      <c r="T291" s="1" t="s">
        <v>1885</v>
      </c>
      <c r="U291" s="1" t="s">
        <v>461</v>
      </c>
      <c r="V291" s="1" t="s">
        <v>46</v>
      </c>
      <c r="W291" s="1" t="s">
        <v>47</v>
      </c>
      <c r="X291" s="1" t="s">
        <v>591</v>
      </c>
      <c r="Y291" s="1" t="s">
        <v>592</v>
      </c>
      <c r="Z291" s="1" t="s">
        <v>50</v>
      </c>
      <c r="AA291" s="12">
        <v>114.86</v>
      </c>
      <c r="AB291" s="12">
        <f t="shared" si="2"/>
        <v>0.11486</v>
      </c>
      <c r="AC291" s="13" t="s">
        <v>51</v>
      </c>
      <c r="AD291" s="13" t="s">
        <v>1884</v>
      </c>
      <c r="AE291" s="97" t="str">
        <v>EQ-0286</v>
      </c>
      <c r="AF291" s="98" t="str">
        <v>storage array - enterprise</v>
      </c>
      <c r="AG291" s="98" t="str">
        <v>CONDITIONAL_MATCH</v>
      </c>
      <c r="AH291" s="98" t="str">
        <v>Match model or supported analogue, operating state, room allocation and all conditions in F. Use D/E only.</v>
      </c>
    </row>
    <row r="292">
      <c r="A292" s="1" t="s">
        <v>1866</v>
      </c>
      <c r="B292" s="1" t="s">
        <v>1890</v>
      </c>
      <c r="C292" s="13" t="s">
        <v>87</v>
      </c>
      <c r="D292" s="14">
        <v>76.52</v>
      </c>
      <c r="E292" s="14">
        <v>0.0</v>
      </c>
      <c r="F292" s="13" t="s">
        <v>1891</v>
      </c>
      <c r="G292" s="18">
        <v>76.52</v>
      </c>
      <c r="H292" s="19">
        <f t="shared" si="22"/>
        <v>0.07652</v>
      </c>
      <c r="I292" s="1" t="s">
        <v>1892</v>
      </c>
      <c r="J292" s="1" t="s">
        <v>1893</v>
      </c>
      <c r="K292" s="1" t="s">
        <v>1894</v>
      </c>
      <c r="L292" s="11" t="s">
        <v>1895</v>
      </c>
      <c r="M292" s="1" t="s">
        <v>459</v>
      </c>
      <c r="N292" s="1" t="s">
        <v>582</v>
      </c>
      <c r="O292" s="1">
        <v>76.52</v>
      </c>
      <c r="P292" s="1">
        <v>76.52</v>
      </c>
      <c r="Q292" s="1">
        <v>0.0</v>
      </c>
      <c r="R292" s="1" t="s">
        <v>1866</v>
      </c>
      <c r="S292" s="1" t="s">
        <v>1896</v>
      </c>
      <c r="T292" s="1" t="s">
        <v>1892</v>
      </c>
      <c r="U292" s="1" t="s">
        <v>461</v>
      </c>
      <c r="V292" s="1" t="s">
        <v>46</v>
      </c>
      <c r="W292" s="1" t="s">
        <v>47</v>
      </c>
      <c r="X292" s="1" t="s">
        <v>174</v>
      </c>
      <c r="Y292" s="1" t="s">
        <v>175</v>
      </c>
      <c r="Z292" s="1" t="s">
        <v>50</v>
      </c>
      <c r="AA292" s="12">
        <v>76.52</v>
      </c>
      <c r="AB292" s="12">
        <f t="shared" si="2"/>
        <v>0.07652</v>
      </c>
      <c r="AC292" s="13" t="s">
        <v>51</v>
      </c>
      <c r="AD292" s="13" t="s">
        <v>1891</v>
      </c>
      <c r="AE292" s="97" t="str">
        <v>EQ-0287</v>
      </c>
      <c r="AF292" s="98" t="str">
        <v>fibre-channel storage switch</v>
      </c>
      <c r="AG292" s="98" t="str">
        <v>CONDITIONAL_MATCH</v>
      </c>
      <c r="AH292" s="98" t="str">
        <v>Match model or supported analogue, operating state, room allocation and all conditions in F. Use D/E only.</v>
      </c>
    </row>
    <row r="293">
      <c r="A293" s="1" t="s">
        <v>1866</v>
      </c>
      <c r="B293" s="1" t="s">
        <v>1897</v>
      </c>
      <c r="C293" s="13" t="s">
        <v>35</v>
      </c>
      <c r="D293" s="14">
        <v>260.0</v>
      </c>
      <c r="E293" s="14">
        <v>0.0</v>
      </c>
      <c r="F293" s="13" t="s">
        <v>1898</v>
      </c>
      <c r="G293" s="18">
        <v>260.0</v>
      </c>
      <c r="H293" s="19">
        <f t="shared" si="22"/>
        <v>0.26</v>
      </c>
      <c r="I293" s="1" t="s">
        <v>1899</v>
      </c>
      <c r="J293" s="1" t="s">
        <v>1900</v>
      </c>
      <c r="K293" s="1" t="s">
        <v>1901</v>
      </c>
      <c r="L293" s="11" t="s">
        <v>1902</v>
      </c>
      <c r="M293" s="1" t="s">
        <v>459</v>
      </c>
      <c r="N293" s="1" t="s">
        <v>582</v>
      </c>
      <c r="O293" s="1">
        <v>260.0</v>
      </c>
      <c r="P293" s="1">
        <v>260.0</v>
      </c>
      <c r="Q293" s="1">
        <v>0.0</v>
      </c>
      <c r="R293" s="1" t="s">
        <v>1866</v>
      </c>
      <c r="S293" s="1" t="s">
        <v>1903</v>
      </c>
      <c r="T293" s="1" t="s">
        <v>1899</v>
      </c>
      <c r="U293" s="1" t="s">
        <v>461</v>
      </c>
      <c r="V293" s="1" t="s">
        <v>46</v>
      </c>
      <c r="W293" s="1" t="s">
        <v>47</v>
      </c>
      <c r="X293" s="1" t="s">
        <v>174</v>
      </c>
      <c r="Y293" s="1" t="s">
        <v>175</v>
      </c>
      <c r="Z293" s="1" t="s">
        <v>50</v>
      </c>
      <c r="AA293" s="12">
        <v>260.0</v>
      </c>
      <c r="AB293" s="12">
        <f t="shared" si="2"/>
        <v>0.26</v>
      </c>
      <c r="AC293" s="13" t="s">
        <v>51</v>
      </c>
      <c r="AD293" s="13" t="s">
        <v>1898</v>
      </c>
      <c r="AE293" s="97" t="str">
        <v>EQ-0288</v>
      </c>
      <c r="AF293" s="98" t="str">
        <v>core network switch</v>
      </c>
      <c r="AG293" s="98" t="str">
        <v>CONDITIONAL_MATCH</v>
      </c>
      <c r="AH293" s="98" t="str">
        <v>Match model or supported analogue, operating state, room allocation and all conditions in F. Use D/E only.</v>
      </c>
    </row>
    <row r="294">
      <c r="A294" s="1" t="s">
        <v>1866</v>
      </c>
      <c r="B294" s="1" t="s">
        <v>1904</v>
      </c>
      <c r="C294" s="13" t="s">
        <v>35</v>
      </c>
      <c r="D294" s="14">
        <v>10.17</v>
      </c>
      <c r="E294" s="14">
        <v>0.0</v>
      </c>
      <c r="F294" s="13" t="s">
        <v>1905</v>
      </c>
      <c r="G294" s="18">
        <v>10.17</v>
      </c>
      <c r="H294" s="19">
        <f t="shared" si="22"/>
        <v>0.01017</v>
      </c>
      <c r="I294" s="1" t="s">
        <v>1906</v>
      </c>
      <c r="J294" s="1" t="s">
        <v>1907</v>
      </c>
      <c r="K294" s="1" t="s">
        <v>1908</v>
      </c>
      <c r="L294" s="11" t="s">
        <v>1909</v>
      </c>
      <c r="M294" s="1" t="s">
        <v>459</v>
      </c>
      <c r="N294" s="1" t="s">
        <v>582</v>
      </c>
      <c r="O294" s="1">
        <v>10.17</v>
      </c>
      <c r="P294" s="1">
        <v>10.17</v>
      </c>
      <c r="Q294" s="1">
        <v>0.0</v>
      </c>
      <c r="R294" s="1" t="s">
        <v>1866</v>
      </c>
      <c r="S294" s="1" t="s">
        <v>1910</v>
      </c>
      <c r="T294" s="1" t="s">
        <v>1906</v>
      </c>
      <c r="U294" s="1" t="s">
        <v>461</v>
      </c>
      <c r="V294" s="1" t="s">
        <v>46</v>
      </c>
      <c r="W294" s="1" t="s">
        <v>47</v>
      </c>
      <c r="X294" s="1" t="s">
        <v>174</v>
      </c>
      <c r="Y294" s="1" t="s">
        <v>175</v>
      </c>
      <c r="Z294" s="1" t="s">
        <v>50</v>
      </c>
      <c r="AA294" s="12">
        <v>10.17</v>
      </c>
      <c r="AB294" s="12">
        <f t="shared" si="2"/>
        <v>0.01017</v>
      </c>
      <c r="AC294" s="13" t="s">
        <v>51</v>
      </c>
      <c r="AD294" s="13" t="s">
        <v>1905</v>
      </c>
      <c r="AE294" s="97" t="str">
        <v>EQ-0289</v>
      </c>
      <c r="AF294" s="98" t="str">
        <v>network security appliance / firewall</v>
      </c>
      <c r="AG294" s="98" t="str">
        <v>CONDITIONAL_MATCH</v>
      </c>
      <c r="AH294" s="98" t="str">
        <v>Match model or supported analogue, operating state, room allocation and all conditions in F. Use D/E only.</v>
      </c>
    </row>
    <row r="295">
      <c r="A295" s="1" t="s">
        <v>1866</v>
      </c>
      <c r="B295" s="1" t="s">
        <v>1911</v>
      </c>
      <c r="C295" s="7" t="s">
        <v>35</v>
      </c>
      <c r="D295" s="8">
        <v>120.2</v>
      </c>
      <c r="E295" s="8">
        <v>0.0</v>
      </c>
      <c r="F295" s="7" t="s">
        <v>1912</v>
      </c>
      <c r="G295" s="18">
        <v>90.0</v>
      </c>
      <c r="H295" s="19">
        <f t="shared" si="22"/>
        <v>0.09</v>
      </c>
      <c r="I295" s="1" t="s">
        <v>1913</v>
      </c>
      <c r="J295" s="1" t="s">
        <v>1914</v>
      </c>
      <c r="K295" s="1" t="s">
        <v>1915</v>
      </c>
      <c r="L295" s="11" t="s">
        <v>1916</v>
      </c>
      <c r="M295" s="1" t="s">
        <v>414</v>
      </c>
      <c r="N295" s="1" t="s">
        <v>42</v>
      </c>
      <c r="O295" s="1">
        <v>120.0</v>
      </c>
      <c r="P295" s="1">
        <v>120.2</v>
      </c>
      <c r="Q295" s="1">
        <v>0.0</v>
      </c>
      <c r="R295" s="1" t="s">
        <v>1866</v>
      </c>
      <c r="S295" s="1" t="s">
        <v>1917</v>
      </c>
      <c r="T295" s="1" t="s">
        <v>1913</v>
      </c>
      <c r="U295" s="1" t="s">
        <v>416</v>
      </c>
      <c r="V295" s="1" t="s">
        <v>46</v>
      </c>
      <c r="W295" s="1" t="s">
        <v>47</v>
      </c>
      <c r="X295" s="1" t="s">
        <v>48</v>
      </c>
      <c r="Y295" s="1" t="s">
        <v>49</v>
      </c>
      <c r="Z295" s="1" t="s">
        <v>50</v>
      </c>
      <c r="AA295" s="12">
        <v>120.2</v>
      </c>
      <c r="AB295" s="12">
        <f t="shared" si="2"/>
        <v>0.1202</v>
      </c>
      <c r="AC295" s="13" t="s">
        <v>51</v>
      </c>
      <c r="AD295" s="13" t="s">
        <v>1912</v>
      </c>
      <c r="AE295" s="97" t="str">
        <v>EQ-0290</v>
      </c>
      <c r="AF295" s="98" t="str">
        <v>load balancer appliance</v>
      </c>
      <c r="AG295" s="98" t="str">
        <v>CONDITIONAL_MATCH</v>
      </c>
      <c r="AH295" s="98" t="str">
        <v>Match model or supported analogue, operating state, room allocation and all conditions in F. Use D/E only.</v>
      </c>
    </row>
    <row r="296">
      <c r="A296" s="1" t="s">
        <v>1866</v>
      </c>
      <c r="B296" s="1" t="s">
        <v>1918</v>
      </c>
      <c r="C296" s="13" t="s">
        <v>87</v>
      </c>
      <c r="D296" s="14">
        <v>7.26</v>
      </c>
      <c r="E296" s="14">
        <v>0.0</v>
      </c>
      <c r="F296" s="13" t="s">
        <v>1919</v>
      </c>
      <c r="G296" s="18">
        <v>7.26</v>
      </c>
      <c r="H296" s="19">
        <f t="shared" si="22"/>
        <v>0.00726</v>
      </c>
      <c r="I296" s="1" t="s">
        <v>1920</v>
      </c>
      <c r="J296" s="1" t="s">
        <v>1921</v>
      </c>
      <c r="K296" s="1" t="s">
        <v>1922</v>
      </c>
      <c r="L296" s="11" t="s">
        <v>1923</v>
      </c>
      <c r="M296" s="1" t="s">
        <v>524</v>
      </c>
      <c r="N296" s="1" t="s">
        <v>582</v>
      </c>
      <c r="O296" s="1">
        <v>7.26</v>
      </c>
      <c r="P296" s="1">
        <v>7.26</v>
      </c>
      <c r="Q296" s="1">
        <v>0.0</v>
      </c>
      <c r="R296" s="1" t="s">
        <v>1866</v>
      </c>
      <c r="S296" s="1" t="s">
        <v>1924</v>
      </c>
      <c r="T296" s="1" t="s">
        <v>1920</v>
      </c>
      <c r="U296" s="1" t="s">
        <v>526</v>
      </c>
      <c r="V296" s="1" t="s">
        <v>46</v>
      </c>
      <c r="W296" s="1" t="s">
        <v>47</v>
      </c>
      <c r="X296" s="1" t="s">
        <v>174</v>
      </c>
      <c r="Y296" s="1" t="s">
        <v>175</v>
      </c>
      <c r="Z296" s="1" t="s">
        <v>50</v>
      </c>
      <c r="AA296" s="12">
        <v>7.26</v>
      </c>
      <c r="AB296" s="12">
        <f t="shared" si="2"/>
        <v>0.00726</v>
      </c>
      <c r="AC296" s="13" t="s">
        <v>51</v>
      </c>
      <c r="AD296" s="13" t="s">
        <v>1919</v>
      </c>
      <c r="AE296" s="97" t="str">
        <v>EQ-0291</v>
      </c>
      <c r="AF296" s="98" t="str">
        <v>kvm-over-ip switch</v>
      </c>
      <c r="AG296" s="98" t="str">
        <v>CONDITIONAL_MATCH</v>
      </c>
      <c r="AH296" s="98" t="str">
        <v>Match model or supported analogue, operating state, room allocation and all conditions in F. Use D/E only.</v>
      </c>
    </row>
    <row r="297">
      <c r="A297" s="1" t="s">
        <v>1866</v>
      </c>
      <c r="B297" s="1" t="s">
        <v>1925</v>
      </c>
      <c r="C297" s="13" t="s">
        <v>35</v>
      </c>
      <c r="D297" s="14">
        <v>20.0</v>
      </c>
      <c r="E297" s="14">
        <v>0.0</v>
      </c>
      <c r="F297" s="13" t="s">
        <v>1926</v>
      </c>
      <c r="G297" s="18">
        <v>20.0</v>
      </c>
      <c r="H297" s="19">
        <f t="shared" si="22"/>
        <v>0.02</v>
      </c>
      <c r="I297" s="1" t="s">
        <v>1927</v>
      </c>
      <c r="J297" s="1" t="s">
        <v>1928</v>
      </c>
      <c r="K297" s="1" t="s">
        <v>1929</v>
      </c>
      <c r="L297" s="11" t="s">
        <v>1930</v>
      </c>
      <c r="M297" s="1" t="s">
        <v>459</v>
      </c>
      <c r="N297" s="1" t="s">
        <v>42</v>
      </c>
      <c r="O297" s="1">
        <v>20.0</v>
      </c>
      <c r="P297" s="1">
        <v>20.0</v>
      </c>
      <c r="Q297" s="1">
        <v>0.0</v>
      </c>
      <c r="R297" s="1" t="s">
        <v>1866</v>
      </c>
      <c r="S297" s="1" t="s">
        <v>1931</v>
      </c>
      <c r="T297" s="1" t="s">
        <v>1927</v>
      </c>
      <c r="U297" s="1" t="s">
        <v>461</v>
      </c>
      <c r="V297" s="1" t="s">
        <v>46</v>
      </c>
      <c r="W297" s="1" t="s">
        <v>47</v>
      </c>
      <c r="X297" s="1" t="s">
        <v>48</v>
      </c>
      <c r="Y297" s="1" t="s">
        <v>49</v>
      </c>
      <c r="Z297" s="1" t="s">
        <v>50</v>
      </c>
      <c r="AA297" s="12">
        <v>20.0</v>
      </c>
      <c r="AB297" s="12">
        <f t="shared" si="2"/>
        <v>0.02</v>
      </c>
      <c r="AC297" s="13" t="s">
        <v>51</v>
      </c>
      <c r="AD297" s="13" t="s">
        <v>1926</v>
      </c>
      <c r="AE297" s="97" t="str">
        <v>EQ-0292</v>
      </c>
      <c r="AF297" s="98" t="str">
        <v>out-of-band management appliance</v>
      </c>
      <c r="AG297" s="98" t="str">
        <v>CONDITIONAL_MATCH</v>
      </c>
      <c r="AH297" s="98" t="str">
        <v>Match model or supported analogue, operating state, room allocation and all conditions in F. Use D/E only.</v>
      </c>
    </row>
    <row r="298">
      <c r="A298" s="1" t="s">
        <v>1866</v>
      </c>
      <c r="B298" s="1" t="s">
        <v>1932</v>
      </c>
      <c r="C298" s="13" t="s">
        <v>243</v>
      </c>
      <c r="D298" s="14" t="s">
        <v>67</v>
      </c>
      <c r="E298" s="14" t="s">
        <v>67</v>
      </c>
      <c r="F298" s="7" t="inlineStr">
        <is>
          <t>Further research required if this item is used in the project. NUMERIC EXAMPLE: 5 W (0.005 kW); EXISTING REFERENCE — scope/state limits apply. TO COMPLETE: AP88XX model and actual current-dependent conductor/contact losses in addition to the 5 W fixed electronics reference. Schneider FAQ rechecked 19 Oct 2026: 5 W is fixed AP88XX electronics consumption; current-dependent resistive losses are explicitly excluded. Never add pass-through IT power as PDU heat. D/E remain unknown; use documented project inputs in Room worksheet I:M once resolved.</t>
        </is>
      </c>
      <c r="G298" s="18">
        <v>5.0</v>
      </c>
      <c r="H298" s="19">
        <f t="shared" si="22"/>
        <v>0.005</v>
      </c>
      <c r="I298" s="1" t="s">
        <v>1934</v>
      </c>
      <c r="J298" s="1" t="s">
        <v>1935</v>
      </c>
      <c r="K298" s="1" t="s">
        <v>1936</v>
      </c>
      <c r="L298" s="11" t="s">
        <v>1937</v>
      </c>
      <c r="M298" s="1" t="s">
        <v>459</v>
      </c>
      <c r="N298" s="1" t="s">
        <v>42</v>
      </c>
      <c r="O298" s="1">
        <v>5.0</v>
      </c>
      <c r="P298" s="1">
        <v>5.0</v>
      </c>
      <c r="Q298" s="1">
        <v>0.0</v>
      </c>
      <c r="R298" s="1" t="s">
        <v>1866</v>
      </c>
      <c r="S298" s="1" t="s">
        <v>1938</v>
      </c>
      <c r="T298" s="1" t="s">
        <v>1934</v>
      </c>
      <c r="U298" s="1" t="s">
        <v>676</v>
      </c>
      <c r="V298" s="1" t="s">
        <v>200</v>
      </c>
      <c r="W298" s="1" t="s">
        <v>1939</v>
      </c>
      <c r="X298" s="1" t="s">
        <v>398</v>
      </c>
      <c r="Y298" s="1" t="s">
        <v>399</v>
      </c>
      <c r="Z298" s="1" t="s">
        <v>50</v>
      </c>
      <c r="AA298" s="16">
        <v>5.0</v>
      </c>
      <c r="AB298" s="16">
        <f t="shared" si="2"/>
        <v>0.005</v>
      </c>
      <c r="AC298" s="17" t="s">
        <v>201</v>
      </c>
      <c r="AD298" s="17" t="inlineStr">
        <is>
          <t>Further research required if this item is used in the project. Fixed electronics consumption only 5 W excludes current-dependent conductor/contact losses. Never add pass-through IT power as PDU heat. This retains the original reference, including any unresolved source limitations; it is not newly validated net room heat. REQUIRED: AP88XX model and actual current-dependent conductor/contact losses in addition to the 5 W fixed electronics reference.</t>
        </is>
      </c>
      <c r="AE298" s="97" t="str">
        <v>EQ-0293</v>
      </c>
      <c r="AF298" s="98" t="str">
        <v>rack-mounted pdu - electrical losses</v>
      </c>
      <c r="AG298" s="98" t="str">
        <v>REFERENCE_ONLY</v>
      </c>
      <c r="AH298" s="98" t="str">
        <v>Do not auto-use reference wattage. Resolve the missing heat data or document a project estimate.</v>
      </c>
    </row>
    <row r="299">
      <c r="A299" s="1" t="s">
        <v>1866</v>
      </c>
      <c r="B299" s="1" t="s">
        <v>1941</v>
      </c>
      <c r="C299" s="13" t="s">
        <v>479</v>
      </c>
      <c r="D299" s="14" t="s">
        <v>67</v>
      </c>
      <c r="E299" s="14" t="s">
        <v>67</v>
      </c>
      <c r="F299" s="7" t="inlineStr">
        <is>
          <t>Further research required if this item is used in the project. USER-REQUESTED HYPOTHETICAL EXAMPLE: 100 W (0.1 kW). Illustrative battery cabinet: assumed 10,000 W charge input with 9,900 W net stored/exported =100 W battery heat; charger losses excluded and must be added separately. Assumed for illustration, not sourced or project-approved. Sensible/latent split unverified. TO COMPLETE: Battery chemistry and cell count; manufacturer float/charge/discharge heat data at actual currents; charger heat counted separately. Need chemistry, cell count, float/charge/discharge current and loss data. Battery cabinet heat is not full UPS output. Reference link is supporting method/product context only; no numeric room-heat value established. D/E remain unknown; use documented project inputs in Room worksheet I:M once resolved.</t>
        </is>
      </c>
      <c r="G299" s="18" t="s">
        <v>616</v>
      </c>
      <c r="H299" s="19" t="s">
        <v>616</v>
      </c>
      <c r="I299" s="1" t="s">
        <v>617</v>
      </c>
      <c r="J299" s="1" t="s">
        <v>1943</v>
      </c>
      <c r="K299" s="1" t="s">
        <v>1944</v>
      </c>
      <c r="L299" s="11" t="s">
        <v>1696</v>
      </c>
      <c r="M299" s="1" t="s">
        <v>621</v>
      </c>
      <c r="N299" s="1" t="s">
        <v>42</v>
      </c>
      <c r="O299" s="1" t="s">
        <v>606</v>
      </c>
      <c r="P299" s="1" t="s">
        <v>486</v>
      </c>
      <c r="Q299" s="1" t="s">
        <v>486</v>
      </c>
      <c r="R299" s="1" t="s">
        <v>1866</v>
      </c>
      <c r="S299" s="1" t="s">
        <v>1945</v>
      </c>
      <c r="T299" s="1" t="s">
        <v>617</v>
      </c>
      <c r="U299" s="1" t="s">
        <v>1698</v>
      </c>
      <c r="V299" s="1" t="s">
        <v>200</v>
      </c>
      <c r="W299" s="1" t="s">
        <v>1946</v>
      </c>
      <c r="X299" s="1" t="s">
        <v>398</v>
      </c>
      <c r="Y299" s="1" t="s">
        <v>399</v>
      </c>
      <c r="Z299" s="1" t="s">
        <v>50</v>
      </c>
      <c r="AA299" s="16">
        <v>100.0</v>
      </c>
      <c r="AB299" s="16">
        <f t="shared" si="2"/>
        <v>0.1</v>
      </c>
      <c r="AC299" s="17" t="s">
        <v>623</v>
      </c>
      <c r="AD299" s="17" t="inlineStr">
        <is>
          <t>Further research required if this item is used in the project. Illustrative battery cabinet: assumed 10,000 W charge input with 9,900 W net stored/exported =100 W battery heat; charger losses excluded and must be added separately. REQUIRED: Battery chemistry and cell count; manufacturer float/charge/discharge heat data at actual currents; charger heat counted separately.</t>
        </is>
      </c>
      <c r="AE299" s="97" t="str">
        <v>EQ-0294</v>
      </c>
      <c r="AF299" s="98" t="str">
        <v>battery cabinet - ups losses</v>
      </c>
      <c r="AG299" s="98" t="str">
        <v>REFERENCE_ONLY</v>
      </c>
      <c r="AH299" s="98" t="str">
        <v>Do not auto-use reference wattage. Resolve the missing heat data or document a project estimate.</v>
      </c>
    </row>
    <row r="300">
      <c r="A300" s="1" t="s">
        <v>1866</v>
      </c>
      <c r="B300" s="1" t="s">
        <v>1948</v>
      </c>
      <c r="C300" s="13" t="s">
        <v>87</v>
      </c>
      <c r="D300" s="14">
        <v>8.0</v>
      </c>
      <c r="E300" s="14">
        <v>0.0</v>
      </c>
      <c r="F300" s="13" t="s">
        <v>1949</v>
      </c>
      <c r="G300" s="18">
        <v>8.0</v>
      </c>
      <c r="H300" s="19">
        <f t="shared" ref="H300:H301" si="23">G300/1000</f>
        <v>0.008</v>
      </c>
      <c r="I300" s="1" t="s">
        <v>1950</v>
      </c>
      <c r="J300" s="1" t="s">
        <v>1951</v>
      </c>
      <c r="K300" s="1" t="s">
        <v>1952</v>
      </c>
      <c r="L300" s="11" t="s">
        <v>1953</v>
      </c>
      <c r="M300" s="1" t="s">
        <v>459</v>
      </c>
      <c r="N300" s="1" t="s">
        <v>42</v>
      </c>
      <c r="O300" s="1">
        <v>8.0</v>
      </c>
      <c r="P300" s="1">
        <v>8.0</v>
      </c>
      <c r="Q300" s="1">
        <v>0.0</v>
      </c>
      <c r="R300" s="1" t="s">
        <v>1866</v>
      </c>
      <c r="S300" s="1" t="s">
        <v>1954</v>
      </c>
      <c r="T300" s="1" t="s">
        <v>1950</v>
      </c>
      <c r="U300" s="1" t="s">
        <v>676</v>
      </c>
      <c r="V300" s="1" t="s">
        <v>46</v>
      </c>
      <c r="W300" s="1" t="s">
        <v>47</v>
      </c>
      <c r="X300" s="1" t="s">
        <v>591</v>
      </c>
      <c r="Y300" s="1" t="s">
        <v>592</v>
      </c>
      <c r="Z300" s="1" t="s">
        <v>50</v>
      </c>
      <c r="AA300" s="12">
        <v>8.0</v>
      </c>
      <c r="AB300" s="12">
        <f t="shared" si="2"/>
        <v>0.008</v>
      </c>
      <c r="AC300" s="13" t="s">
        <v>51</v>
      </c>
      <c r="AD300" s="13" t="s">
        <v>1949</v>
      </c>
      <c r="AE300" s="97" t="str">
        <v>EQ-0295</v>
      </c>
      <c r="AF300" s="98" t="str">
        <v>server rack cooling fan unit</v>
      </c>
      <c r="AG300" s="98" t="str">
        <v>CONDITIONAL_MATCH</v>
      </c>
      <c r="AH300" s="98" t="str">
        <v>Match model or supported analogue, operating state, room allocation and all conditions in F. Use D/E only.</v>
      </c>
    </row>
    <row r="301">
      <c r="A301" s="1" t="s">
        <v>1866</v>
      </c>
      <c r="B301" s="1" t="s">
        <v>1955</v>
      </c>
      <c r="C301" s="13" t="s">
        <v>243</v>
      </c>
      <c r="D301" s="14" t="s">
        <v>67</v>
      </c>
      <c r="E301" s="14" t="s">
        <v>67</v>
      </c>
      <c r="F301" s="7" t="inlineStr">
        <is>
          <t>Further research required if this item is used in the project. NUMERIC EXAMPLE: 805 W (0.805 kW); EXISTING REFERENCE — scope/state limits apply. TO COMPLETE: Selected fan speed and actual auxiliary input; position relative to cooling coil; whether coil capacity already includes fan heat. Manufacturer maximum operating input 805 W for this chilled-water unit, taken as internal auxiliary heat to air/water system. NOT its cooling capacity (up to 40 kW), nor compressor power. Allocation upstream/downstream of coil must be checked; do not add again if cooling selection already includes fan heat. Not a typical speed allowance. D/E remain unknown; use documented project inputs in Room worksheet I:M once resolved.</t>
        </is>
      </c>
      <c r="G301" s="18">
        <v>805.0</v>
      </c>
      <c r="H301" s="19">
        <f t="shared" si="23"/>
        <v>0.805</v>
      </c>
      <c r="I301" s="1" t="s">
        <v>1957</v>
      </c>
      <c r="J301" s="1" t="s">
        <v>1958</v>
      </c>
      <c r="K301" s="1" t="s">
        <v>1959</v>
      </c>
      <c r="L301" s="11" t="s">
        <v>1960</v>
      </c>
      <c r="M301" s="1" t="s">
        <v>1302</v>
      </c>
      <c r="N301" s="1" t="s">
        <v>582</v>
      </c>
      <c r="O301" s="1">
        <v>805.0</v>
      </c>
      <c r="P301" s="1">
        <v>805.0</v>
      </c>
      <c r="Q301" s="1">
        <v>0.0</v>
      </c>
      <c r="R301" s="1" t="s">
        <v>1866</v>
      </c>
      <c r="S301" s="1" t="s">
        <v>1961</v>
      </c>
      <c r="T301" s="1" t="s">
        <v>1957</v>
      </c>
      <c r="U301" s="1" t="s">
        <v>1551</v>
      </c>
      <c r="V301" s="1" t="s">
        <v>200</v>
      </c>
      <c r="W301" s="1" t="s">
        <v>1962</v>
      </c>
      <c r="X301" s="1" t="s">
        <v>152</v>
      </c>
      <c r="Y301" s="1" t="s">
        <v>153</v>
      </c>
      <c r="Z301" s="1" t="s">
        <v>50</v>
      </c>
      <c r="AA301" s="16">
        <v>805.0</v>
      </c>
      <c r="AB301" s="16">
        <f t="shared" si="2"/>
        <v>0.805</v>
      </c>
      <c r="AC301" s="17" t="s">
        <v>201</v>
      </c>
      <c r="AD301" s="17" t="inlineStr">
        <is>
          <t>Further research required if this item is used in the project. Maximum operating electrical heat allowance; fan/control subsystem Manufacturer maximum operating input 805 W for this chilled-water unit, taken as internal auxiliary heat to air/water system. NOT its cooling capacity (up to 40 kW), nor compressor power. Allocation upstream/downstream of coil must be checked; do not add again if cooling selection already includes fan heat. Not a typical speed allowance. This retains the original reference, including any unresolved source limitations; it is not newly validated net room heat. REQUIRED: Selected fan speed and actual auxiliary input; position relative to cooling coil; whether coil capacity already includes fan heat.</t>
        </is>
      </c>
      <c r="AE301" s="97" t="str">
        <v>EQ-0296</v>
      </c>
      <c r="AF301" s="98" t="str">
        <v>in-row cooling unit - fan and controls only</v>
      </c>
      <c r="AG301" s="98" t="str">
        <v>REFERENCE_ONLY</v>
      </c>
      <c r="AH301" s="98" t="str">
        <v>Do not auto-use reference wattage. Resolve the missing heat data or document a project estimate.</v>
      </c>
    </row>
    <row r="302">
      <c r="A302" s="1" t="s">
        <v>1964</v>
      </c>
      <c r="B302" s="1" t="s">
        <v>1965</v>
      </c>
      <c r="C302" s="13" t="s">
        <v>479</v>
      </c>
      <c r="D302" s="14" t="s">
        <v>67</v>
      </c>
      <c r="E302" s="14" t="s">
        <v>67</v>
      </c>
      <c r="F302" s="7" t="inlineStr">
        <is>
          <t>Further research required if this item is used in the project. NUMERIC EXAMPLE: 35 W (0.035 kW); ELECTRICAL INPUT — not established room heat. TO COMPLETE: Installed base-station configuration, RF power exported, DC supply losses, traffic state and indoor equipment location. Small LTE unit, not macrocell site. RF output exported to antennas; enclosure loss and indoor/outdoor location must be established before room gain. D/E remain unknown; use documented project inputs in Room worksheet I:M once resolved.</t>
        </is>
      </c>
      <c r="G302" s="18" t="s">
        <v>616</v>
      </c>
      <c r="H302" s="19" t="s">
        <v>616</v>
      </c>
      <c r="I302" s="1" t="s">
        <v>1967</v>
      </c>
      <c r="J302" s="1" t="s">
        <v>1968</v>
      </c>
      <c r="K302" s="1" t="s">
        <v>1969</v>
      </c>
      <c r="L302" s="11" t="s">
        <v>1970</v>
      </c>
      <c r="M302" s="1" t="s">
        <v>485</v>
      </c>
      <c r="N302" s="1" t="s">
        <v>42</v>
      </c>
      <c r="O302" s="1">
        <v>35.0</v>
      </c>
      <c r="P302" s="1" t="s">
        <v>486</v>
      </c>
      <c r="Q302" s="1" t="s">
        <v>486</v>
      </c>
      <c r="R302" s="1" t="s">
        <v>1964</v>
      </c>
      <c r="S302" s="1" t="s">
        <v>1971</v>
      </c>
      <c r="T302" s="1" t="s">
        <v>1967</v>
      </c>
      <c r="U302" s="1" t="s">
        <v>1823</v>
      </c>
      <c r="V302" s="1" t="s">
        <v>200</v>
      </c>
      <c r="W302" s="1" t="s">
        <v>1972</v>
      </c>
      <c r="X302" s="1" t="s">
        <v>48</v>
      </c>
      <c r="Y302" s="1" t="s">
        <v>49</v>
      </c>
      <c r="Z302" s="1" t="s">
        <v>50</v>
      </c>
      <c r="AA302" s="16">
        <v>35.0</v>
      </c>
      <c r="AB302" s="16">
        <f t="shared" si="2"/>
        <v>0.035</v>
      </c>
      <c r="AC302" s="17" t="s">
        <v>878</v>
      </c>
      <c r="AD302" s="17" t="inlineStr">
        <is>
          <t>Further research required if this item is used in the project. Existing electrical reference for Cellular base-station equipment: 35 W. Small LTE unit, not macrocell site. RF output exported to antennas; enclosure loss and indoor/outdoor location must be established before room gain. This is not a measured sensible/latent room load. Only a closed energy balance can justify equating it to eventual total heat; external steam, refrigerant, fluid, work, storage and exhaust can change that result. REQUIRED: Installed base-station configuration, RF power exported, DC supply losses, traffic state and indoor equipment location.</t>
        </is>
      </c>
      <c r="AE302" s="97" t="str">
        <v>EQ-0297</v>
      </c>
      <c r="AF302" s="98" t="str">
        <v>cellular base-station equipment</v>
      </c>
      <c r="AG302" s="98" t="str">
        <v>REFERENCE_ONLY</v>
      </c>
      <c r="AH302" s="98" t="str">
        <v>Do not auto-use reference wattage. Resolve the missing heat data or document a project estimate.</v>
      </c>
    </row>
    <row r="303">
      <c r="A303" s="1" t="s">
        <v>1964</v>
      </c>
      <c r="B303" s="1" t="s">
        <v>1974</v>
      </c>
      <c r="C303" s="13" t="s">
        <v>479</v>
      </c>
      <c r="D303" s="14" t="s">
        <v>67</v>
      </c>
      <c r="E303" s="14" t="s">
        <v>67</v>
      </c>
      <c r="F303" s="7" t="inlineStr">
        <is>
          <t>Further research required if this item is used in the project. USER-REQUESTED HYPOTHETICAL EXAMPLE: 200 W (0.2 kW). Illustrative DAS: assumed 250 W system input minus 50 W power exported beyond the room =200 W heat; equipment inventory is hypothetical. Assumed for illustration, not sourced or project-approved. Sensible/latent split unverified. TO COMPLETE: Head-end/remote-unit inventory and loss data; RF and power exported to antennas; room location and workload. Need head-end/remote-unit configuration, RF output, cable loss and which units are inside each room. Reference link is supporting method/product context only; no numeric room-heat value established. D/E remain unknown; use documented project inputs in Room worksheet I:M once resolved.</t>
        </is>
      </c>
      <c r="G303" s="18" t="s">
        <v>616</v>
      </c>
      <c r="H303" s="19" t="s">
        <v>616</v>
      </c>
      <c r="I303" s="1" t="s">
        <v>617</v>
      </c>
      <c r="J303" s="1" t="s">
        <v>1976</v>
      </c>
      <c r="K303" s="1" t="s">
        <v>1977</v>
      </c>
      <c r="L303" s="11" t="s">
        <v>1978</v>
      </c>
      <c r="M303" s="1" t="s">
        <v>621</v>
      </c>
      <c r="N303" s="1" t="s">
        <v>42</v>
      </c>
      <c r="O303" s="1" t="s">
        <v>606</v>
      </c>
      <c r="P303" s="1" t="s">
        <v>486</v>
      </c>
      <c r="Q303" s="1" t="s">
        <v>486</v>
      </c>
      <c r="R303" s="1" t="s">
        <v>1964</v>
      </c>
      <c r="S303" s="1" t="s">
        <v>1979</v>
      </c>
      <c r="T303" s="1" t="s">
        <v>617</v>
      </c>
      <c r="U303" s="1" t="s">
        <v>1698</v>
      </c>
      <c r="V303" s="1" t="s">
        <v>200</v>
      </c>
      <c r="W303" s="1" t="s">
        <v>1980</v>
      </c>
      <c r="X303" s="1" t="s">
        <v>174</v>
      </c>
      <c r="Y303" s="1" t="s">
        <v>175</v>
      </c>
      <c r="Z303" s="1" t="s">
        <v>50</v>
      </c>
      <c r="AA303" s="16">
        <v>200.0</v>
      </c>
      <c r="AB303" s="16">
        <f t="shared" si="2"/>
        <v>0.2</v>
      </c>
      <c r="AC303" s="17" t="s">
        <v>623</v>
      </c>
      <c r="AD303" s="17" t="inlineStr">
        <is>
          <t>Further research required if this item is used in the project. Illustrative DAS: assumed 250 W system input minus 50 W power exported beyond the room =200 W heat; equipment inventory is hypothetical. REQUIRED: Head-end/remote-unit inventory and loss data; RF and power exported to antennas; room location and workload.</t>
        </is>
      </c>
      <c r="AE303" s="97" t="str">
        <v>EQ-0298</v>
      </c>
      <c r="AF303" s="98" t="str">
        <v>distributed antenna system equipment</v>
      </c>
      <c r="AG303" s="98" t="str">
        <v>REFERENCE_ONLY</v>
      </c>
      <c r="AH303" s="98" t="str">
        <v>Do not auto-use reference wattage. Resolve the missing heat data or document a project estimate.</v>
      </c>
    </row>
    <row r="304">
      <c r="A304" s="1" t="s">
        <v>1964</v>
      </c>
      <c r="B304" s="1" t="s">
        <v>1982</v>
      </c>
      <c r="C304" s="13" t="s">
        <v>129</v>
      </c>
      <c r="D304" s="14">
        <v>8.04</v>
      </c>
      <c r="E304" s="14">
        <v>0.0</v>
      </c>
      <c r="F304" s="13" t="s">
        <v>1983</v>
      </c>
      <c r="G304" s="18">
        <v>8.04</v>
      </c>
      <c r="H304" s="19">
        <f>G304/1000</f>
        <v>0.00804</v>
      </c>
      <c r="I304" s="1" t="s">
        <v>1984</v>
      </c>
      <c r="J304" s="1" t="s">
        <v>1985</v>
      </c>
      <c r="K304" s="1" t="s">
        <v>1986</v>
      </c>
      <c r="L304" s="11" t="s">
        <v>1987</v>
      </c>
      <c r="M304" s="1" t="s">
        <v>1302</v>
      </c>
      <c r="N304" s="1" t="s">
        <v>42</v>
      </c>
      <c r="O304" s="1">
        <v>8.04</v>
      </c>
      <c r="P304" s="1">
        <v>8.04</v>
      </c>
      <c r="Q304" s="1">
        <v>0.0</v>
      </c>
      <c r="R304" s="1" t="s">
        <v>1964</v>
      </c>
      <c r="S304" s="1" t="s">
        <v>1988</v>
      </c>
      <c r="T304" s="1" t="s">
        <v>1984</v>
      </c>
      <c r="U304" s="1" t="s">
        <v>1551</v>
      </c>
      <c r="V304" s="1" t="s">
        <v>46</v>
      </c>
      <c r="W304" s="1" t="s">
        <v>47</v>
      </c>
      <c r="X304" s="1" t="s">
        <v>174</v>
      </c>
      <c r="Y304" s="1" t="s">
        <v>175</v>
      </c>
      <c r="Z304" s="1" t="s">
        <v>50</v>
      </c>
      <c r="AA304" s="12">
        <v>8.04</v>
      </c>
      <c r="AB304" s="12">
        <f t="shared" si="2"/>
        <v>0.00804</v>
      </c>
      <c r="AC304" s="13" t="s">
        <v>51</v>
      </c>
      <c r="AD304" s="13" t="s">
        <v>1983</v>
      </c>
      <c r="AE304" s="97" t="str">
        <v>EQ-0299</v>
      </c>
      <c r="AF304" s="98" t="str">
        <v>radio repeater</v>
      </c>
      <c r="AG304" s="98" t="str">
        <v>CONDITIONAL_MATCH</v>
      </c>
      <c r="AH304" s="98" t="str">
        <v>Match model or supported analogue, operating state, room allocation and all conditions in F. Use D/E only.</v>
      </c>
    </row>
    <row r="305">
      <c r="A305" s="1" t="s">
        <v>1964</v>
      </c>
      <c r="B305" s="1" t="s">
        <v>1989</v>
      </c>
      <c r="C305" s="13" t="s">
        <v>479</v>
      </c>
      <c r="D305" s="14" t="s">
        <v>67</v>
      </c>
      <c r="E305" s="14" t="s">
        <v>67</v>
      </c>
      <c r="F305" s="7" t="inlineStr">
        <is>
          <t>Further research required if this item is used in the project. NUMERIC EXAMPLE: 100 W (0.1 kW); ELECTRICAL INPUT — not established room heat. TO COMPLETE: Separate indoor router/supply losses from outdoor antenna and cable power; actual operating/heater state. Includes outdoor antenna, router, supply and cables. Indoor room allocation cannot be obtained from total; do not put 100 W wholly indoors. D/E remain unknown; use documented project inputs in Room worksheet I:M once resolved.</t>
        </is>
      </c>
      <c r="G305" s="18" t="s">
        <v>616</v>
      </c>
      <c r="H305" s="19" t="s">
        <v>616</v>
      </c>
      <c r="I305" s="1" t="s">
        <v>1991</v>
      </c>
      <c r="J305" s="1" t="s">
        <v>1992</v>
      </c>
      <c r="K305" s="1" t="s">
        <v>1993</v>
      </c>
      <c r="L305" s="11" t="s">
        <v>1994</v>
      </c>
      <c r="M305" s="1" t="s">
        <v>485</v>
      </c>
      <c r="N305" s="1" t="s">
        <v>42</v>
      </c>
      <c r="O305" s="1">
        <v>100.0</v>
      </c>
      <c r="P305" s="1" t="s">
        <v>486</v>
      </c>
      <c r="Q305" s="1" t="s">
        <v>486</v>
      </c>
      <c r="R305" s="1" t="s">
        <v>1964</v>
      </c>
      <c r="S305" s="1" t="s">
        <v>1995</v>
      </c>
      <c r="T305" s="1" t="s">
        <v>1991</v>
      </c>
      <c r="U305" s="1" t="s">
        <v>1717</v>
      </c>
      <c r="V305" s="1" t="s">
        <v>200</v>
      </c>
      <c r="W305" s="1" t="s">
        <v>1996</v>
      </c>
      <c r="X305" s="1" t="s">
        <v>174</v>
      </c>
      <c r="Y305" s="1" t="s">
        <v>175</v>
      </c>
      <c r="Z305" s="1" t="s">
        <v>50</v>
      </c>
      <c r="AA305" s="16">
        <v>100.0</v>
      </c>
      <c r="AB305" s="16">
        <f t="shared" si="2"/>
        <v>0.1</v>
      </c>
      <c r="AC305" s="17" t="s">
        <v>878</v>
      </c>
      <c r="AD305" s="17" t="inlineStr">
        <is>
          <t>Further research required if this item is used in the project. Existing electrical reference for Satellite communications terminal: 100 W. Includes outdoor antenna, router, supply and cables. Indoor room allocation cannot be obtained from total; do not put 100 W wholly indoors. This is not a measured sensible/latent room load. Only a closed energy balance can justify equating it to eventual total heat; external steam, refrigerant, fluid, work, storage and exhaust can change that result. REQUIRED: Separate indoor router/supply losses from outdoor antenna and cable power; actual operating/heater state.</t>
        </is>
      </c>
      <c r="AE305" s="97" t="str">
        <v>EQ-0300</v>
      </c>
      <c r="AF305" s="98" t="str">
        <v>satellite communications terminal</v>
      </c>
      <c r="AG305" s="98" t="str">
        <v>REFERENCE_ONLY</v>
      </c>
      <c r="AH305" s="98" t="str">
        <v>Do not auto-use reference wattage. Resolve the missing heat data or document a project estimate.</v>
      </c>
    </row>
    <row r="306">
      <c r="A306" s="1" t="s">
        <v>1964</v>
      </c>
      <c r="B306" s="1" t="s">
        <v>1998</v>
      </c>
      <c r="C306" s="13" t="s">
        <v>35</v>
      </c>
      <c r="D306" s="14">
        <v>1050.0</v>
      </c>
      <c r="E306" s="14">
        <v>0.0</v>
      </c>
      <c r="F306" s="13" t="s">
        <v>1999</v>
      </c>
      <c r="G306" s="18">
        <v>1050.0</v>
      </c>
      <c r="H306" s="19">
        <f t="shared" ref="H306:H309" si="24">G306/1000</f>
        <v>1.05</v>
      </c>
      <c r="I306" s="1" t="s">
        <v>2000</v>
      </c>
      <c r="J306" s="1" t="s">
        <v>2001</v>
      </c>
      <c r="K306" s="1" t="s">
        <v>2002</v>
      </c>
      <c r="L306" s="11" t="s">
        <v>2003</v>
      </c>
      <c r="M306" s="1" t="s">
        <v>1302</v>
      </c>
      <c r="N306" s="1" t="s">
        <v>42</v>
      </c>
      <c r="O306" s="1">
        <v>1050.0</v>
      </c>
      <c r="P306" s="1">
        <v>1050.0</v>
      </c>
      <c r="Q306" s="1">
        <v>0.0</v>
      </c>
      <c r="R306" s="1" t="s">
        <v>1964</v>
      </c>
      <c r="S306" s="1" t="s">
        <v>2004</v>
      </c>
      <c r="T306" s="1" t="s">
        <v>2000</v>
      </c>
      <c r="U306" s="1" t="s">
        <v>1551</v>
      </c>
      <c r="V306" s="1" t="s">
        <v>46</v>
      </c>
      <c r="W306" s="1" t="s">
        <v>47</v>
      </c>
      <c r="X306" s="1" t="s">
        <v>174</v>
      </c>
      <c r="Y306" s="1" t="s">
        <v>175</v>
      </c>
      <c r="Z306" s="1" t="s">
        <v>50</v>
      </c>
      <c r="AA306" s="12">
        <v>1050.0</v>
      </c>
      <c r="AB306" s="12">
        <f t="shared" si="2"/>
        <v>1.05</v>
      </c>
      <c r="AC306" s="13" t="s">
        <v>51</v>
      </c>
      <c r="AD306" s="13" t="s">
        <v>1999</v>
      </c>
      <c r="AE306" s="97" t="str">
        <v>EQ-0301</v>
      </c>
      <c r="AF306" s="98" t="str">
        <v>fibre-optic transmission equipment</v>
      </c>
      <c r="AG306" s="98" t="str">
        <v>CONDITIONAL_MATCH</v>
      </c>
      <c r="AH306" s="98" t="str">
        <v>Match model or supported analogue, operating state, room allocation and all conditions in F. Use D/E only.</v>
      </c>
    </row>
    <row r="307">
      <c r="A307" s="1" t="s">
        <v>2005</v>
      </c>
      <c r="B307" s="1" t="s">
        <v>2006</v>
      </c>
      <c r="C307" s="7" t="s">
        <v>2007</v>
      </c>
      <c r="D307" s="8">
        <v>402.78</v>
      </c>
      <c r="E307" s="8">
        <v>369.44</v>
      </c>
      <c r="F307" s="7" t="s">
        <v>2008</v>
      </c>
      <c r="G307" s="18">
        <v>772.22</v>
      </c>
      <c r="H307" s="19">
        <f t="shared" si="24"/>
        <v>0.77222</v>
      </c>
      <c r="I307" s="1" t="s">
        <v>2009</v>
      </c>
      <c r="J307" s="1" t="s">
        <v>2008</v>
      </c>
      <c r="K307" s="1" t="s">
        <v>2010</v>
      </c>
      <c r="L307" s="11" t="s">
        <v>2011</v>
      </c>
      <c r="M307" s="1" t="s">
        <v>1810</v>
      </c>
      <c r="N307" s="1" t="s">
        <v>42</v>
      </c>
      <c r="O307" s="1">
        <v>7100.0</v>
      </c>
      <c r="P307" s="1">
        <v>402.78</v>
      </c>
      <c r="Q307" s="1">
        <v>369.44</v>
      </c>
      <c r="R307" s="1" t="s">
        <v>2012</v>
      </c>
      <c r="S307" s="1" t="s">
        <v>2013</v>
      </c>
      <c r="T307" s="1" t="s">
        <v>2009</v>
      </c>
      <c r="U307" s="1" t="s">
        <v>1812</v>
      </c>
      <c r="V307" s="1" t="s">
        <v>46</v>
      </c>
      <c r="W307" s="1" t="s">
        <v>47</v>
      </c>
      <c r="X307" s="1" t="s">
        <v>903</v>
      </c>
      <c r="Y307" s="1" t="s">
        <v>904</v>
      </c>
      <c r="Z307" s="1" t="s">
        <v>50</v>
      </c>
      <c r="AA307" s="12">
        <v>772.22</v>
      </c>
      <c r="AB307" s="12">
        <f t="shared" si="2"/>
        <v>0.77222</v>
      </c>
      <c r="AC307" s="13" t="s">
        <v>51</v>
      </c>
      <c r="AD307" s="13" t="s">
        <v>2008</v>
      </c>
      <c r="AE307" s="97" t="str">
        <v>EQ-0302</v>
      </c>
      <c r="AF307" s="98" t="str">
        <v>combi steam oven</v>
      </c>
      <c r="AG307" s="98" t="str">
        <v>CONDITIONAL_MATCH</v>
      </c>
      <c r="AH307" s="98" t="str">
        <v>Match model or supported analogue, operating state, room allocation and all conditions in F. Use D/E only.</v>
      </c>
    </row>
    <row r="308">
      <c r="A308" s="1" t="s">
        <v>2005</v>
      </c>
      <c r="B308" s="1" t="s">
        <v>2014</v>
      </c>
      <c r="C308" s="13" t="s">
        <v>53</v>
      </c>
      <c r="D308" s="14">
        <v>934.0</v>
      </c>
      <c r="E308" s="14">
        <v>995.0</v>
      </c>
      <c r="F308" s="13" t="s">
        <v>2015</v>
      </c>
      <c r="G308" s="18">
        <v>1929.0</v>
      </c>
      <c r="H308" s="19">
        <f t="shared" si="24"/>
        <v>1.929</v>
      </c>
      <c r="I308" s="1" t="s">
        <v>947</v>
      </c>
      <c r="J308" s="1" t="s">
        <v>705</v>
      </c>
      <c r="K308" s="1" t="s">
        <v>2016</v>
      </c>
      <c r="L308" s="11" t="s">
        <v>58</v>
      </c>
      <c r="M308" s="1" t="s">
        <v>459</v>
      </c>
      <c r="N308" s="1" t="s">
        <v>42</v>
      </c>
      <c r="O308" s="1" t="s">
        <v>606</v>
      </c>
      <c r="P308" s="1">
        <v>934.0</v>
      </c>
      <c r="Q308" s="1">
        <v>995.0</v>
      </c>
      <c r="R308" s="1" t="s">
        <v>2012</v>
      </c>
      <c r="S308" s="1" t="s">
        <v>2017</v>
      </c>
      <c r="T308" s="1" t="s">
        <v>947</v>
      </c>
      <c r="U308" s="1" t="s">
        <v>608</v>
      </c>
      <c r="V308" s="1" t="s">
        <v>46</v>
      </c>
      <c r="W308" s="1" t="s">
        <v>47</v>
      </c>
      <c r="X308" s="1" t="s">
        <v>48</v>
      </c>
      <c r="Y308" s="1" t="s">
        <v>49</v>
      </c>
      <c r="Z308" s="1" t="s">
        <v>50</v>
      </c>
      <c r="AA308" s="12">
        <v>1929.0</v>
      </c>
      <c r="AB308" s="12">
        <f t="shared" si="2"/>
        <v>1.929</v>
      </c>
      <c r="AC308" s="13" t="s">
        <v>51</v>
      </c>
      <c r="AD308" s="13" t="s">
        <v>2015</v>
      </c>
      <c r="AE308" s="97" t="str">
        <v>EQ-0303</v>
      </c>
      <c r="AF308" s="98" t="str">
        <v>commercial microwave - high-power</v>
      </c>
      <c r="AG308" s="98" t="str">
        <v>CONDITIONAL_MATCH</v>
      </c>
      <c r="AH308" s="98" t="str">
        <v>Match model or supported analogue, operating state, room allocation and all conditions in F. Use D/E only.</v>
      </c>
    </row>
    <row r="309">
      <c r="A309" s="1" t="s">
        <v>2005</v>
      </c>
      <c r="B309" s="1" t="s">
        <v>2018</v>
      </c>
      <c r="C309" s="13" t="s">
        <v>53</v>
      </c>
      <c r="D309" s="14">
        <v>109.0</v>
      </c>
      <c r="E309" s="14">
        <v>44.0</v>
      </c>
      <c r="F309" s="13" t="s">
        <v>2019</v>
      </c>
      <c r="G309" s="18">
        <v>153.0</v>
      </c>
      <c r="H309" s="19">
        <f t="shared" si="24"/>
        <v>0.153</v>
      </c>
      <c r="I309" s="1" t="s">
        <v>947</v>
      </c>
      <c r="J309" s="1" t="s">
        <v>705</v>
      </c>
      <c r="K309" s="1" t="s">
        <v>2020</v>
      </c>
      <c r="L309" s="11" t="s">
        <v>58</v>
      </c>
      <c r="M309" s="1" t="s">
        <v>459</v>
      </c>
      <c r="N309" s="1" t="s">
        <v>42</v>
      </c>
      <c r="O309" s="1" t="s">
        <v>606</v>
      </c>
      <c r="P309" s="1">
        <v>109.0</v>
      </c>
      <c r="Q309" s="1">
        <v>44.0</v>
      </c>
      <c r="R309" s="1" t="s">
        <v>2012</v>
      </c>
      <c r="S309" s="1" t="s">
        <v>2021</v>
      </c>
      <c r="T309" s="1" t="s">
        <v>947</v>
      </c>
      <c r="U309" s="1" t="s">
        <v>608</v>
      </c>
      <c r="V309" s="1" t="s">
        <v>46</v>
      </c>
      <c r="W309" s="1" t="s">
        <v>47</v>
      </c>
      <c r="X309" s="1" t="s">
        <v>903</v>
      </c>
      <c r="Y309" s="1" t="s">
        <v>904</v>
      </c>
      <c r="Z309" s="1" t="s">
        <v>50</v>
      </c>
      <c r="AA309" s="12">
        <v>153.0</v>
      </c>
      <c r="AB309" s="12">
        <f t="shared" si="2"/>
        <v>0.153</v>
      </c>
      <c r="AC309" s="13" t="s">
        <v>51</v>
      </c>
      <c r="AD309" s="13" t="s">
        <v>2019</v>
      </c>
      <c r="AE309" s="97" t="str">
        <v>EQ-0304</v>
      </c>
      <c r="AF309" s="98" t="str">
        <v>commercial rice cooker</v>
      </c>
      <c r="AG309" s="98" t="str">
        <v>CONDITIONAL_MATCH</v>
      </c>
      <c r="AH309" s="98" t="str">
        <v>Match model or supported analogue, operating state, room allocation and all conditions in F. Use D/E only.</v>
      </c>
    </row>
    <row r="310">
      <c r="A310" s="1" t="s">
        <v>2005</v>
      </c>
      <c r="B310" s="1" t="s">
        <v>2022</v>
      </c>
      <c r="C310" s="13" t="s">
        <v>479</v>
      </c>
      <c r="D310" s="14" t="s">
        <v>67</v>
      </c>
      <c r="E310" s="14" t="s">
        <v>67</v>
      </c>
      <c r="F310" s="7" t="inlineStr">
        <is>
          <t>Further research required if this item is used in the project. NUMERIC EXAMPLE: 500 W (0.5 kW); ELECTRICAL INPUT — not established room heat. TO COMPLETE: Steam inlet/condensate energy balance and throughput; hood capture; local sensible and latent release; auxiliary power separately. 500 W controls/auxiliaries does NOT represent total cooking heat. External steam consumption120 kg/h is additional; need hood and steam balance. D/E remain unknown; use documented project inputs in Room worksheet I:M once resolved.</t>
        </is>
      </c>
      <c r="G310" s="18" t="s">
        <v>616</v>
      </c>
      <c r="H310" s="19" t="s">
        <v>616</v>
      </c>
      <c r="I310" s="1" t="s">
        <v>2024</v>
      </c>
      <c r="J310" s="1" t="s">
        <v>2025</v>
      </c>
      <c r="K310" s="1" t="s">
        <v>2026</v>
      </c>
      <c r="L310" s="11" t="s">
        <v>2027</v>
      </c>
      <c r="M310" s="1" t="s">
        <v>485</v>
      </c>
      <c r="N310" s="1" t="s">
        <v>42</v>
      </c>
      <c r="O310" s="1">
        <v>500.0</v>
      </c>
      <c r="P310" s="1" t="s">
        <v>486</v>
      </c>
      <c r="Q310" s="1" t="s">
        <v>486</v>
      </c>
      <c r="R310" s="1" t="s">
        <v>2012</v>
      </c>
      <c r="S310" s="1" t="s">
        <v>2028</v>
      </c>
      <c r="T310" s="1" t="s">
        <v>2024</v>
      </c>
      <c r="U310" s="1" t="s">
        <v>1823</v>
      </c>
      <c r="V310" s="1" t="s">
        <v>200</v>
      </c>
      <c r="W310" s="1" t="s">
        <v>2029</v>
      </c>
      <c r="X310" s="1" t="s">
        <v>903</v>
      </c>
      <c r="Y310" s="1" t="s">
        <v>904</v>
      </c>
      <c r="Z310" s="1" t="s">
        <v>50</v>
      </c>
      <c r="AA310" s="16">
        <v>500.0</v>
      </c>
      <c r="AB310" s="16">
        <f t="shared" si="2"/>
        <v>0.5</v>
      </c>
      <c r="AC310" s="17" t="s">
        <v>878</v>
      </c>
      <c r="AD310" s="17" t="inlineStr">
        <is>
          <t>Further research required if this item is used in the project. Existing electrical reference for Pasta cooker: 500 W. 500 W controls/auxiliaries does NOT represent total cooking heat. External steam consumption120 kg/h is additional; need hood and steam balance. This is not a measured sensible/latent room load. Only a closed energy balance can justify equating it to eventual total heat; external steam, refrigerant, fluid, work, storage and exhaust can change that result. REQUIRED: Steam inlet/condensate energy balance and throughput; hood capture; local sensible and latent release; auxiliary power separately.</t>
        </is>
      </c>
      <c r="AE310" s="97" t="str">
        <v>EQ-0305</v>
      </c>
      <c r="AF310" s="98" t="str">
        <v>pasta cooker</v>
      </c>
      <c r="AG310" s="98" t="str">
        <v>REFERENCE_ONLY</v>
      </c>
      <c r="AH310" s="98" t="str">
        <v>Do not auto-use reference wattage. Resolve the missing heat data or document a project estimate.</v>
      </c>
    </row>
    <row r="311">
      <c r="A311" s="1" t="s">
        <v>2005</v>
      </c>
      <c r="B311" s="1" t="s">
        <v>2031</v>
      </c>
      <c r="C311" s="13" t="s">
        <v>921</v>
      </c>
      <c r="D311" s="14">
        <v>2051.0</v>
      </c>
      <c r="E311" s="14">
        <v>0.0</v>
      </c>
      <c r="F311" s="13" t="s">
        <v>2032</v>
      </c>
      <c r="G311" s="18">
        <v>2051.0</v>
      </c>
      <c r="H311" s="19">
        <f>G311/1000</f>
        <v>2.051</v>
      </c>
      <c r="I311" s="1" t="s">
        <v>982</v>
      </c>
      <c r="J311" s="1" t="s">
        <v>705</v>
      </c>
      <c r="K311" s="1" t="s">
        <v>2033</v>
      </c>
      <c r="L311" s="11" t="s">
        <v>58</v>
      </c>
      <c r="M311" s="1" t="s">
        <v>459</v>
      </c>
      <c r="N311" s="1" t="s">
        <v>42</v>
      </c>
      <c r="O311" s="1" t="s">
        <v>606</v>
      </c>
      <c r="P311" s="1">
        <v>2051.0</v>
      </c>
      <c r="Q311" s="1">
        <v>0.0</v>
      </c>
      <c r="R311" s="1" t="s">
        <v>2012</v>
      </c>
      <c r="S311" s="1" t="s">
        <v>2034</v>
      </c>
      <c r="T311" s="1" t="s">
        <v>982</v>
      </c>
      <c r="U311" s="1" t="s">
        <v>608</v>
      </c>
      <c r="V311" s="1" t="s">
        <v>46</v>
      </c>
      <c r="W311" s="1" t="s">
        <v>47</v>
      </c>
      <c r="X311" s="1" t="s">
        <v>903</v>
      </c>
      <c r="Y311" s="1" t="s">
        <v>904</v>
      </c>
      <c r="Z311" s="1" t="s">
        <v>50</v>
      </c>
      <c r="AA311" s="12">
        <v>2051.0</v>
      </c>
      <c r="AB311" s="12">
        <f t="shared" si="2"/>
        <v>2.051</v>
      </c>
      <c r="AC311" s="13" t="s">
        <v>51</v>
      </c>
      <c r="AD311" s="13" t="s">
        <v>2032</v>
      </c>
      <c r="AE311" s="97" t="str">
        <v>EQ-0306</v>
      </c>
      <c r="AF311" s="98" t="str">
        <v>electric salamander grill</v>
      </c>
      <c r="AG311" s="98" t="str">
        <v>CONDITIONAL_MATCH</v>
      </c>
      <c r="AH311" s="98" t="str">
        <v>Match model or supported analogue, operating state, room allocation and all conditions in F. Use D/E only.</v>
      </c>
    </row>
    <row r="312">
      <c r="A312" s="1" t="s">
        <v>2005</v>
      </c>
      <c r="B312" s="1" t="s">
        <v>2035</v>
      </c>
      <c r="C312" s="7" t="s">
        <v>53</v>
      </c>
      <c r="D312" s="8">
        <v>318.0</v>
      </c>
      <c r="E312" s="8">
        <v>335.0</v>
      </c>
      <c r="F312" s="7" t="s">
        <v>2036</v>
      </c>
      <c r="G312" s="18" t="s">
        <v>616</v>
      </c>
      <c r="H312" s="19" t="s">
        <v>616</v>
      </c>
      <c r="I312" s="1" t="s">
        <v>965</v>
      </c>
      <c r="J312" s="1" t="s">
        <v>2037</v>
      </c>
      <c r="K312" s="1" t="s">
        <v>967</v>
      </c>
      <c r="L312" s="11" t="s">
        <v>58</v>
      </c>
      <c r="M312" s="1" t="s">
        <v>968</v>
      </c>
      <c r="N312" s="1" t="s">
        <v>42</v>
      </c>
      <c r="O312" s="1" t="s">
        <v>2038</v>
      </c>
      <c r="P312" s="1">
        <v>318.0</v>
      </c>
      <c r="Q312" s="1">
        <v>335.0</v>
      </c>
      <c r="R312" s="1" t="s">
        <v>2012</v>
      </c>
      <c r="S312" s="1" t="s">
        <v>2039</v>
      </c>
      <c r="T312" s="1" t="s">
        <v>965</v>
      </c>
      <c r="U312" s="1" t="s">
        <v>971</v>
      </c>
      <c r="V312" s="1" t="s">
        <v>46</v>
      </c>
      <c r="W312" s="1" t="s">
        <v>47</v>
      </c>
      <c r="X312" s="1" t="s">
        <v>903</v>
      </c>
      <c r="Y312" s="1" t="s">
        <v>904</v>
      </c>
      <c r="Z312" s="1" t="s">
        <v>50</v>
      </c>
      <c r="AA312" s="12">
        <v>653.0</v>
      </c>
      <c r="AB312" s="12">
        <f t="shared" si="2"/>
        <v>0.653</v>
      </c>
      <c r="AC312" s="13" t="s">
        <v>51</v>
      </c>
      <c r="AD312" s="13" t="s">
        <v>2036</v>
      </c>
      <c r="AE312" s="97" t="str">
        <v>EQ-0307</v>
      </c>
      <c r="AF312" s="98" t="str">
        <v>commercial induction range</v>
      </c>
      <c r="AG312" s="98" t="str">
        <v>CONDITIONAL_MATCH</v>
      </c>
      <c r="AH312" s="98" t="str">
        <v>Match model or supported analogue, operating state, room allocation and all conditions in F. Use D/E only.</v>
      </c>
    </row>
    <row r="313">
      <c r="A313" s="1" t="s">
        <v>2005</v>
      </c>
      <c r="B313" s="1" t="s">
        <v>2040</v>
      </c>
      <c r="C313" s="13" t="s">
        <v>921</v>
      </c>
      <c r="D313" s="14">
        <v>4250.0</v>
      </c>
      <c r="E313" s="14">
        <v>0.0</v>
      </c>
      <c r="F313" s="13" t="s">
        <v>2041</v>
      </c>
      <c r="G313" s="18">
        <v>4250.0</v>
      </c>
      <c r="H313" s="19">
        <f t="shared" ref="H313:H317" si="25">G313/1000</f>
        <v>4.25</v>
      </c>
      <c r="I313" s="1" t="s">
        <v>2042</v>
      </c>
      <c r="J313" s="1" t="s">
        <v>705</v>
      </c>
      <c r="K313" s="1" t="s">
        <v>2043</v>
      </c>
      <c r="L313" s="11" t="s">
        <v>58</v>
      </c>
      <c r="M313" s="1" t="s">
        <v>459</v>
      </c>
      <c r="N313" s="1" t="s">
        <v>42</v>
      </c>
      <c r="O313" s="1" t="s">
        <v>606</v>
      </c>
      <c r="P313" s="1">
        <v>4250.0</v>
      </c>
      <c r="Q313" s="1">
        <v>0.0</v>
      </c>
      <c r="R313" s="1" t="s">
        <v>2012</v>
      </c>
      <c r="S313" s="1" t="s">
        <v>2044</v>
      </c>
      <c r="T313" s="1" t="s">
        <v>2042</v>
      </c>
      <c r="U313" s="1" t="s">
        <v>608</v>
      </c>
      <c r="V313" s="1" t="s">
        <v>46</v>
      </c>
      <c r="W313" s="1" t="s">
        <v>47</v>
      </c>
      <c r="X313" s="1" t="s">
        <v>903</v>
      </c>
      <c r="Y313" s="1" t="s">
        <v>904</v>
      </c>
      <c r="Z313" s="1" t="s">
        <v>50</v>
      </c>
      <c r="AA313" s="12">
        <v>4250.0</v>
      </c>
      <c r="AB313" s="12">
        <f t="shared" si="2"/>
        <v>4.25</v>
      </c>
      <c r="AC313" s="13" t="s">
        <v>51</v>
      </c>
      <c r="AD313" s="13" t="s">
        <v>2041</v>
      </c>
      <c r="AE313" s="97" t="str">
        <v>EQ-0308</v>
      </c>
      <c r="AF313" s="98" t="str">
        <v>commercial electric range</v>
      </c>
      <c r="AG313" s="98" t="str">
        <v>CONDITIONAL_MATCH</v>
      </c>
      <c r="AH313" s="98" t="str">
        <v>Match model or supported analogue, operating state, room allocation and all conditions in F. Use D/E only.</v>
      </c>
    </row>
    <row r="314">
      <c r="A314" s="1" t="s">
        <v>2005</v>
      </c>
      <c r="B314" s="1" t="s">
        <v>2045</v>
      </c>
      <c r="C314" s="13" t="s">
        <v>921</v>
      </c>
      <c r="D314" s="14">
        <v>3165.0</v>
      </c>
      <c r="E314" s="14">
        <v>0.0</v>
      </c>
      <c r="F314" s="13" t="s">
        <v>2046</v>
      </c>
      <c r="G314" s="18">
        <v>3165.0</v>
      </c>
      <c r="H314" s="19">
        <f t="shared" si="25"/>
        <v>3.165</v>
      </c>
      <c r="I314" s="1" t="s">
        <v>2047</v>
      </c>
      <c r="J314" s="1" t="s">
        <v>2048</v>
      </c>
      <c r="K314" s="1" t="s">
        <v>2049</v>
      </c>
      <c r="L314" s="11" t="s">
        <v>943</v>
      </c>
      <c r="M314" s="1" t="s">
        <v>459</v>
      </c>
      <c r="N314" s="1" t="s">
        <v>42</v>
      </c>
      <c r="O314" s="1">
        <v>9056.0</v>
      </c>
      <c r="P314" s="1">
        <v>3165.0</v>
      </c>
      <c r="Q314" s="1">
        <v>0.0</v>
      </c>
      <c r="R314" s="1" t="s">
        <v>2012</v>
      </c>
      <c r="S314" s="1" t="s">
        <v>2050</v>
      </c>
      <c r="T314" s="1" t="s">
        <v>2047</v>
      </c>
      <c r="U314" s="1" t="s">
        <v>2051</v>
      </c>
      <c r="V314" s="1" t="s">
        <v>46</v>
      </c>
      <c r="W314" s="1" t="s">
        <v>47</v>
      </c>
      <c r="X314" s="1" t="s">
        <v>903</v>
      </c>
      <c r="Y314" s="1" t="s">
        <v>904</v>
      </c>
      <c r="Z314" s="1" t="s">
        <v>50</v>
      </c>
      <c r="AA314" s="12">
        <v>3165.0</v>
      </c>
      <c r="AB314" s="12">
        <f t="shared" si="2"/>
        <v>3.165</v>
      </c>
      <c r="AC314" s="13" t="s">
        <v>51</v>
      </c>
      <c r="AD314" s="13" t="s">
        <v>2046</v>
      </c>
      <c r="AE314" s="97" t="str">
        <v>EQ-0309</v>
      </c>
      <c r="AF314" s="98" t="str">
        <v>electric chargrill</v>
      </c>
      <c r="AG314" s="98" t="str">
        <v>CONDITIONAL_MATCH</v>
      </c>
      <c r="AH314" s="98" t="str">
        <v>Match model or supported analogue, operating state, room allocation and all conditions in F. Use D/E only.</v>
      </c>
    </row>
    <row r="315">
      <c r="A315" s="1" t="s">
        <v>2005</v>
      </c>
      <c r="B315" s="1" t="s">
        <v>2052</v>
      </c>
      <c r="C315" s="13" t="s">
        <v>921</v>
      </c>
      <c r="D315" s="14">
        <v>147.0</v>
      </c>
      <c r="E315" s="14">
        <v>0.0</v>
      </c>
      <c r="F315" s="13" t="s">
        <v>2053</v>
      </c>
      <c r="G315" s="18">
        <v>147.0</v>
      </c>
      <c r="H315" s="19">
        <f t="shared" si="25"/>
        <v>0.147</v>
      </c>
      <c r="I315" s="1" t="s">
        <v>982</v>
      </c>
      <c r="J315" s="1" t="s">
        <v>705</v>
      </c>
      <c r="K315" s="1" t="s">
        <v>2054</v>
      </c>
      <c r="L315" s="11" t="s">
        <v>58</v>
      </c>
      <c r="M315" s="1" t="s">
        <v>459</v>
      </c>
      <c r="N315" s="1" t="s">
        <v>42</v>
      </c>
      <c r="O315" s="1" t="s">
        <v>606</v>
      </c>
      <c r="P315" s="1">
        <v>147.0</v>
      </c>
      <c r="Q315" s="1">
        <v>0.0</v>
      </c>
      <c r="R315" s="1" t="s">
        <v>2012</v>
      </c>
      <c r="S315" s="1" t="s">
        <v>2055</v>
      </c>
      <c r="T315" s="1" t="s">
        <v>982</v>
      </c>
      <c r="U315" s="1" t="s">
        <v>608</v>
      </c>
      <c r="V315" s="1" t="s">
        <v>46</v>
      </c>
      <c r="W315" s="1" t="s">
        <v>47</v>
      </c>
      <c r="X315" s="1" t="s">
        <v>903</v>
      </c>
      <c r="Y315" s="1" t="s">
        <v>904</v>
      </c>
      <c r="Z315" s="1" t="s">
        <v>50</v>
      </c>
      <c r="AA315" s="12">
        <v>147.0</v>
      </c>
      <c r="AB315" s="12">
        <f t="shared" si="2"/>
        <v>0.147</v>
      </c>
      <c r="AC315" s="13" t="s">
        <v>51</v>
      </c>
      <c r="AD315" s="13" t="s">
        <v>2053</v>
      </c>
      <c r="AE315" s="97" t="str">
        <v>EQ-0310</v>
      </c>
      <c r="AF315" s="98" t="str">
        <v>commercial pressure fryer</v>
      </c>
      <c r="AG315" s="98" t="str">
        <v>CONDITIONAL_MATCH</v>
      </c>
      <c r="AH315" s="98" t="str">
        <v>Match model or supported analogue, operating state, room allocation and all conditions in F. Use D/E only.</v>
      </c>
    </row>
    <row r="316">
      <c r="A316" s="1" t="s">
        <v>2005</v>
      </c>
      <c r="B316" s="1" t="s">
        <v>2056</v>
      </c>
      <c r="C316" s="13" t="s">
        <v>921</v>
      </c>
      <c r="D316" s="14">
        <v>352.0</v>
      </c>
      <c r="E316" s="14">
        <v>0.0</v>
      </c>
      <c r="F316" s="13" t="s">
        <v>1064</v>
      </c>
      <c r="G316" s="18">
        <v>352.0</v>
      </c>
      <c r="H316" s="19">
        <f t="shared" si="25"/>
        <v>0.352</v>
      </c>
      <c r="I316" s="1" t="s">
        <v>1065</v>
      </c>
      <c r="J316" s="1" t="s">
        <v>705</v>
      </c>
      <c r="K316" s="1" t="s">
        <v>1066</v>
      </c>
      <c r="L316" s="11" t="s">
        <v>58</v>
      </c>
      <c r="M316" s="1" t="s">
        <v>459</v>
      </c>
      <c r="N316" s="1" t="s">
        <v>42</v>
      </c>
      <c r="O316" s="1" t="s">
        <v>606</v>
      </c>
      <c r="P316" s="1">
        <v>352.0</v>
      </c>
      <c r="Q316" s="1">
        <v>0.0</v>
      </c>
      <c r="R316" s="1" t="s">
        <v>2012</v>
      </c>
      <c r="S316" s="1" t="s">
        <v>1067</v>
      </c>
      <c r="T316" s="1" t="s">
        <v>1065</v>
      </c>
      <c r="U316" s="1" t="s">
        <v>608</v>
      </c>
      <c r="V316" s="1" t="s">
        <v>46</v>
      </c>
      <c r="W316" s="1" t="s">
        <v>47</v>
      </c>
      <c r="X316" s="1" t="s">
        <v>903</v>
      </c>
      <c r="Y316" s="1" t="s">
        <v>904</v>
      </c>
      <c r="Z316" s="1" t="s">
        <v>50</v>
      </c>
      <c r="AA316" s="12">
        <v>352.0</v>
      </c>
      <c r="AB316" s="12">
        <f t="shared" si="2"/>
        <v>0.352</v>
      </c>
      <c r="AC316" s="13" t="s">
        <v>51</v>
      </c>
      <c r="AD316" s="13" t="s">
        <v>1064</v>
      </c>
      <c r="AE316" s="97" t="str">
        <v>EQ-0311</v>
      </c>
      <c r="AF316" s="98" t="str">
        <v>heated serving counter</v>
      </c>
      <c r="AG316" s="98" t="str">
        <v>CONDITIONAL_MATCH</v>
      </c>
      <c r="AH316" s="98" t="str">
        <v>Match model or supported analogue, operating state, room allocation and all conditions in F. Use D/E only.</v>
      </c>
    </row>
    <row r="317">
      <c r="A317" s="1" t="s">
        <v>2005</v>
      </c>
      <c r="B317" s="1" t="s">
        <v>2057</v>
      </c>
      <c r="C317" s="13" t="s">
        <v>921</v>
      </c>
      <c r="D317" s="14">
        <v>264.0</v>
      </c>
      <c r="E317" s="14">
        <v>762.0</v>
      </c>
      <c r="F317" s="13" t="s">
        <v>2058</v>
      </c>
      <c r="G317" s="18">
        <v>1026.0</v>
      </c>
      <c r="H317" s="19">
        <f t="shared" si="25"/>
        <v>1.026</v>
      </c>
      <c r="I317" s="1" t="s">
        <v>2059</v>
      </c>
      <c r="J317" s="1" t="s">
        <v>705</v>
      </c>
      <c r="K317" s="1" t="s">
        <v>2060</v>
      </c>
      <c r="L317" s="11" t="s">
        <v>58</v>
      </c>
      <c r="M317" s="1" t="s">
        <v>459</v>
      </c>
      <c r="N317" s="1" t="s">
        <v>42</v>
      </c>
      <c r="O317" s="1" t="s">
        <v>606</v>
      </c>
      <c r="P317" s="1">
        <v>264.0</v>
      </c>
      <c r="Q317" s="1">
        <v>762.0</v>
      </c>
      <c r="R317" s="1" t="s">
        <v>2012</v>
      </c>
      <c r="S317" s="1" t="s">
        <v>2061</v>
      </c>
      <c r="T317" s="1" t="s">
        <v>2059</v>
      </c>
      <c r="U317" s="1" t="s">
        <v>608</v>
      </c>
      <c r="V317" s="1" t="s">
        <v>46</v>
      </c>
      <c r="W317" s="1" t="s">
        <v>47</v>
      </c>
      <c r="X317" s="1" t="s">
        <v>903</v>
      </c>
      <c r="Y317" s="1" t="s">
        <v>904</v>
      </c>
      <c r="Z317" s="1" t="s">
        <v>50</v>
      </c>
      <c r="AA317" s="12">
        <v>1026.0</v>
      </c>
      <c r="AB317" s="12">
        <f t="shared" si="2"/>
        <v>1.026</v>
      </c>
      <c r="AC317" s="13" t="s">
        <v>51</v>
      </c>
      <c r="AD317" s="13" t="s">
        <v>2058</v>
      </c>
      <c r="AE317" s="97" t="str">
        <v>EQ-0312</v>
      </c>
      <c r="AF317" s="98" t="str">
        <v>bain-marie / food well</v>
      </c>
      <c r="AG317" s="98" t="str">
        <v>CONDITIONAL_MATCH</v>
      </c>
      <c r="AH317" s="98" t="str">
        <v>Match model or supported analogue, operating state, room allocation and all conditions in F. Use D/E only.</v>
      </c>
    </row>
    <row r="318">
      <c r="A318" s="1" t="s">
        <v>2005</v>
      </c>
      <c r="B318" s="1" t="s">
        <v>2062</v>
      </c>
      <c r="C318" s="13" t="s">
        <v>479</v>
      </c>
      <c r="D318" s="14" t="s">
        <v>67</v>
      </c>
      <c r="E318" s="14" t="s">
        <v>67</v>
      </c>
      <c r="F318" s="7" t="inlineStr">
        <is>
          <t>Further research required if this item is used in the project. NUMERIC EXAMPLE: 5000 W (5 kW); ELECTRICAL INPUT — not established room heat. TO COMPLETE: Actual blast-chiller variant, cooling/rejection locations, food throughput, door/defrost cycle and room emissions. 20-tray blast chiller input. Remote unit shown; cooling output 12 kW is NOT heat emitted in room. Need rejection location, product load and duty. D/E remain unknown; use documented project inputs in Room worksheet I:M once resolved.</t>
        </is>
      </c>
      <c r="G318" s="18" t="s">
        <v>616</v>
      </c>
      <c r="H318" s="19" t="s">
        <v>616</v>
      </c>
      <c r="I318" s="1" t="s">
        <v>1042</v>
      </c>
      <c r="J318" s="1" t="s">
        <v>2064</v>
      </c>
      <c r="K318" s="1" t="s">
        <v>2065</v>
      </c>
      <c r="L318" s="11" t="s">
        <v>2066</v>
      </c>
      <c r="M318" s="1" t="s">
        <v>485</v>
      </c>
      <c r="N318" s="1" t="s">
        <v>42</v>
      </c>
      <c r="O318" s="1">
        <v>5000.0</v>
      </c>
      <c r="P318" s="1" t="s">
        <v>486</v>
      </c>
      <c r="Q318" s="1" t="s">
        <v>486</v>
      </c>
      <c r="R318" s="1" t="s">
        <v>2012</v>
      </c>
      <c r="S318" s="1" t="s">
        <v>2067</v>
      </c>
      <c r="T318" s="1" t="s">
        <v>1042</v>
      </c>
      <c r="U318" s="1" t="s">
        <v>1717</v>
      </c>
      <c r="V318" s="1" t="s">
        <v>200</v>
      </c>
      <c r="W318" s="1" t="s">
        <v>2068</v>
      </c>
      <c r="X318" s="1" t="s">
        <v>176</v>
      </c>
      <c r="Y318" s="1" t="s">
        <v>189</v>
      </c>
      <c r="Z318" s="1" t="s">
        <v>50</v>
      </c>
      <c r="AA318" s="16">
        <v>5000.0</v>
      </c>
      <c r="AB318" s="16">
        <f t="shared" si="2"/>
        <v>5</v>
      </c>
      <c r="AC318" s="17" t="s">
        <v>878</v>
      </c>
      <c r="AD318" s="17" t="inlineStr">
        <is>
          <t>Further research required if this item is used in the project. Existing electrical reference for Blast chiller: 5000 W. 20-tray blast chiller input. Remote unit shown; cooling output 12 kW is NOT heat emitted in room. Need rejection location, product load and duty. This is not a measured sensible/latent room load. Only a closed energy balance can justify equating it to eventual total heat; external steam, refrigerant, fluid, work, storage and exhaust can change that result. REQUIRED: Actual blast-chiller variant, cooling/rejection locations, food throughput, door/defrost cycle and room emissions.</t>
        </is>
      </c>
      <c r="AE318" s="97" t="str">
        <v>EQ-0313</v>
      </c>
      <c r="AF318" s="98" t="str">
        <v>blast chiller</v>
      </c>
      <c r="AG318" s="98" t="str">
        <v>REFERENCE_ONLY</v>
      </c>
      <c r="AH318" s="98" t="str">
        <v>Do not auto-use reference wattage. Resolve the missing heat data or document a project estimate.</v>
      </c>
    </row>
    <row r="319">
      <c r="A319" s="1" t="s">
        <v>2005</v>
      </c>
      <c r="B319" s="1" t="s">
        <v>2070</v>
      </c>
      <c r="C319" s="13" t="s">
        <v>35</v>
      </c>
      <c r="D319" s="14">
        <v>55.0</v>
      </c>
      <c r="E319" s="14">
        <v>0.0</v>
      </c>
      <c r="F319" s="13" t="s">
        <v>2071</v>
      </c>
      <c r="G319" s="18">
        <v>55.0</v>
      </c>
      <c r="H319" s="19">
        <f t="shared" ref="H319:H321" si="26">G319/1000</f>
        <v>0.055</v>
      </c>
      <c r="I319" s="1" t="s">
        <v>2072</v>
      </c>
      <c r="J319" s="1" t="s">
        <v>2073</v>
      </c>
      <c r="K319" s="1" t="s">
        <v>2074</v>
      </c>
      <c r="L319" s="11" t="s">
        <v>2075</v>
      </c>
      <c r="M319" s="1" t="s">
        <v>459</v>
      </c>
      <c r="N319" s="1" t="s">
        <v>42</v>
      </c>
      <c r="O319" s="1">
        <v>55.0</v>
      </c>
      <c r="P319" s="1">
        <v>55.0</v>
      </c>
      <c r="Q319" s="1">
        <v>0.0</v>
      </c>
      <c r="R319" s="1" t="s">
        <v>2012</v>
      </c>
      <c r="S319" s="1" t="s">
        <v>2076</v>
      </c>
      <c r="T319" s="1" t="s">
        <v>2072</v>
      </c>
      <c r="U319" s="1" t="s">
        <v>676</v>
      </c>
      <c r="V319" s="1" t="s">
        <v>46</v>
      </c>
      <c r="W319" s="1" t="s">
        <v>47</v>
      </c>
      <c r="X319" s="1" t="s">
        <v>176</v>
      </c>
      <c r="Y319" s="1" t="s">
        <v>189</v>
      </c>
      <c r="Z319" s="1" t="s">
        <v>50</v>
      </c>
      <c r="AA319" s="12">
        <v>55.0</v>
      </c>
      <c r="AB319" s="12">
        <f t="shared" si="2"/>
        <v>0.055</v>
      </c>
      <c r="AC319" s="13" t="s">
        <v>51</v>
      </c>
      <c r="AD319" s="13" t="s">
        <v>2071</v>
      </c>
      <c r="AE319" s="97" t="str">
        <v>EQ-0314</v>
      </c>
      <c r="AF319" s="98" t="str">
        <v>walk-in coolroom evaporator fan</v>
      </c>
      <c r="AG319" s="98" t="str">
        <v>CONDITIONAL_MATCH</v>
      </c>
      <c r="AH319" s="98" t="str">
        <v>Match model or supported analogue, operating state, room allocation and all conditions in F. Use D/E only.</v>
      </c>
    </row>
    <row r="320">
      <c r="A320" s="1" t="s">
        <v>2005</v>
      </c>
      <c r="B320" s="1" t="s">
        <v>2077</v>
      </c>
      <c r="C320" s="13" t="s">
        <v>35</v>
      </c>
      <c r="D320" s="14">
        <v>305.0</v>
      </c>
      <c r="E320" s="14">
        <v>0.0</v>
      </c>
      <c r="F320" s="13" t="s">
        <v>2078</v>
      </c>
      <c r="G320" s="18">
        <v>305.0</v>
      </c>
      <c r="H320" s="19">
        <f t="shared" si="26"/>
        <v>0.305</v>
      </c>
      <c r="I320" s="1" t="s">
        <v>2079</v>
      </c>
      <c r="J320" s="1" t="s">
        <v>2080</v>
      </c>
      <c r="K320" s="1" t="s">
        <v>2081</v>
      </c>
      <c r="L320" s="11" t="s">
        <v>2082</v>
      </c>
      <c r="M320" s="1" t="s">
        <v>459</v>
      </c>
      <c r="N320" s="1" t="s">
        <v>42</v>
      </c>
      <c r="O320" s="1">
        <v>305.0</v>
      </c>
      <c r="P320" s="1">
        <v>305.0</v>
      </c>
      <c r="Q320" s="1">
        <v>0.0</v>
      </c>
      <c r="R320" s="1" t="s">
        <v>2012</v>
      </c>
      <c r="S320" s="1" t="s">
        <v>2083</v>
      </c>
      <c r="T320" s="1" t="s">
        <v>2079</v>
      </c>
      <c r="U320" s="1" t="s">
        <v>676</v>
      </c>
      <c r="V320" s="1" t="s">
        <v>46</v>
      </c>
      <c r="W320" s="1" t="s">
        <v>47</v>
      </c>
      <c r="X320" s="1" t="s">
        <v>176</v>
      </c>
      <c r="Y320" s="1" t="s">
        <v>189</v>
      </c>
      <c r="Z320" s="1" t="s">
        <v>50</v>
      </c>
      <c r="AA320" s="12">
        <v>305.0</v>
      </c>
      <c r="AB320" s="12">
        <f t="shared" si="2"/>
        <v>0.305</v>
      </c>
      <c r="AC320" s="13" t="s">
        <v>51</v>
      </c>
      <c r="AD320" s="13" t="s">
        <v>2078</v>
      </c>
      <c r="AE320" s="97" t="str">
        <v>EQ-0315</v>
      </c>
      <c r="AF320" s="98" t="str">
        <v>walk-in freezer evaporator fan</v>
      </c>
      <c r="AG320" s="98" t="str">
        <v>CONDITIONAL_MATCH</v>
      </c>
      <c r="AH320" s="98" t="str">
        <v>Match model or supported analogue, operating state, room allocation and all conditions in F. Use D/E only.</v>
      </c>
    </row>
    <row r="321">
      <c r="A321" s="1" t="s">
        <v>2005</v>
      </c>
      <c r="B321" s="1" t="s">
        <v>2084</v>
      </c>
      <c r="C321" s="13" t="s">
        <v>194</v>
      </c>
      <c r="D321" s="14" t="s">
        <v>67</v>
      </c>
      <c r="E321" s="14" t="s">
        <v>67</v>
      </c>
      <c r="F321" s="7" t="inlineStr">
        <is>
          <t>Further research required if this item is used in the project. NUMERIC EXAMPLE: 928.9 W (0.9289 kW); EXISTING REFERENCE — scope/state limits apply. TO COMPLETE: Ice production, air/water conditions, condenser location and water/ice/drain balance; distinguish gross rejection from net room load. 3170 BTU/h ×0.293071; manufacturer total heat rejection. D/E remain unknown; use documented project inputs in Room worksheet I:M once resolved.</t>
        </is>
      </c>
      <c r="G321" s="18">
        <v>928.9</v>
      </c>
      <c r="H321" s="19">
        <f t="shared" si="26"/>
        <v>0.9289</v>
      </c>
      <c r="I321" s="1" t="s">
        <v>1027</v>
      </c>
      <c r="J321" s="1" t="s">
        <v>2086</v>
      </c>
      <c r="K321" s="1" t="s">
        <v>2087</v>
      </c>
      <c r="L321" s="11" t="s">
        <v>1030</v>
      </c>
      <c r="M321" s="1" t="s">
        <v>524</v>
      </c>
      <c r="N321" s="1" t="s">
        <v>42</v>
      </c>
      <c r="O321" s="1" t="s">
        <v>606</v>
      </c>
      <c r="P321" s="1" t="s">
        <v>68</v>
      </c>
      <c r="Q321" s="1" t="s">
        <v>68</v>
      </c>
      <c r="R321" s="1" t="s">
        <v>2012</v>
      </c>
      <c r="S321" s="1" t="s">
        <v>2088</v>
      </c>
      <c r="T321" s="1" t="s">
        <v>1027</v>
      </c>
      <c r="U321" s="1" t="s">
        <v>993</v>
      </c>
      <c r="V321" s="1" t="s">
        <v>200</v>
      </c>
      <c r="W321" s="1" t="s">
        <v>2089</v>
      </c>
      <c r="X321" s="1" t="s">
        <v>176</v>
      </c>
      <c r="Y321" s="1" t="s">
        <v>189</v>
      </c>
      <c r="Z321" s="1" t="s">
        <v>50</v>
      </c>
      <c r="AA321" s="16">
        <v>928.9</v>
      </c>
      <c r="AB321" s="16">
        <f t="shared" si="2"/>
        <v>0.9289</v>
      </c>
      <c r="AC321" s="17" t="s">
        <v>201</v>
      </c>
      <c r="AD321" s="17" t="inlineStr">
        <is>
          <t>Further research required if this item is used in the project. 32.2°C air / 21.1°C water; historical model 3170 BTU/h ×0.293071; manufacturer total heat rejection. This retains the original reference, including any unresolved source limitations; it is not newly validated net room heat. REQUIRED: Ice production, air/water conditions, condenser location and water/ice/drain balance; distinguish gross rejection from net room load.</t>
        </is>
      </c>
      <c r="AE321" s="97" t="str">
        <v>EQ-0316</v>
      </c>
      <c r="AF321" s="98" t="str">
        <v>commercial ice flaker</v>
      </c>
      <c r="AG321" s="98" t="str">
        <v>REFERENCE_ONLY</v>
      </c>
      <c r="AH321" s="98" t="str">
        <v>Do not auto-use reference wattage. Resolve the missing heat data or document a project estimate.</v>
      </c>
    </row>
    <row r="322">
      <c r="A322" s="1" t="s">
        <v>2005</v>
      </c>
      <c r="B322" s="1" t="s">
        <v>2091</v>
      </c>
      <c r="C322" s="13" t="s">
        <v>479</v>
      </c>
      <c r="D322" s="14" t="s">
        <v>67</v>
      </c>
      <c r="E322" s="14" t="s">
        <v>67</v>
      </c>
      <c r="F322" s="7" t="inlineStr">
        <is>
          <t>Further research required if this item is used in the project. NUMERIC EXAMPLE: 550 W (0.55 kW); ELECTRICAL INPUT — not established room heat. TO COMPLETE: BE-10 mixing/idle duty and measured input; dough heating and product destination; room emissions including motor loss. Manufacturer model sheet: 550 W total electrical loading at 230 V/50–60 Hz, 3 kg flour capacity at 60% water. BE-10C differs (750 W). Motor losses, work warming dough, product removal and cycle duty determine room heat. Do not use 550 W as a measured continuous sensible gain. Manufacturer-authored document hosted by equipment supplier. D/E remain unknown; use documented project inputs in Room worksheet I:M once resolved.</t>
        </is>
      </c>
      <c r="G322" s="18" t="s">
        <v>616</v>
      </c>
      <c r="H322" s="19" t="s">
        <v>616</v>
      </c>
      <c r="I322" s="1" t="s">
        <v>2093</v>
      </c>
      <c r="J322" s="1" t="s">
        <v>2094</v>
      </c>
      <c r="K322" s="1" t="s">
        <v>2095</v>
      </c>
      <c r="L322" s="11" t="s">
        <v>2096</v>
      </c>
      <c r="M322" s="1" t="s">
        <v>485</v>
      </c>
      <c r="N322" s="1" t="s">
        <v>42</v>
      </c>
      <c r="O322" s="1">
        <v>550.0</v>
      </c>
      <c r="P322" s="1" t="s">
        <v>486</v>
      </c>
      <c r="Q322" s="1" t="s">
        <v>486</v>
      </c>
      <c r="R322" s="1" t="s">
        <v>2012</v>
      </c>
      <c r="S322" s="1" t="s">
        <v>2097</v>
      </c>
      <c r="T322" s="1" t="s">
        <v>2093</v>
      </c>
      <c r="U322" s="1" t="s">
        <v>2098</v>
      </c>
      <c r="V322" s="1" t="s">
        <v>200</v>
      </c>
      <c r="W322" s="1" t="s">
        <v>2099</v>
      </c>
      <c r="X322" s="1" t="s">
        <v>48</v>
      </c>
      <c r="Y322" s="1" t="s">
        <v>49</v>
      </c>
      <c r="Z322" s="1" t="s">
        <v>50</v>
      </c>
      <c r="AA322" s="16">
        <v>550.0</v>
      </c>
      <c r="AB322" s="16">
        <f t="shared" si="2"/>
        <v>0.55</v>
      </c>
      <c r="AC322" s="17" t="s">
        <v>878</v>
      </c>
      <c r="AD322" s="17" t="inlineStr">
        <is>
          <t>Further research required if this item is used in the project. Existing electrical reference for Dough mixer: 550 W. Manufacturer model sheet: 550 W total electrical loading at 230 V/50–60 Hz, 3 kg flour capacity at 60% water. BE-10C differs (750 W). Motor losses, work warming dough, product removal and cycle duty determine room heat. Do not use 550 W as a measured continuous sensible gain. Manufacturer-authored document hosted by equipment supplier. This is not a measured sensible/latent room load. Only a closed energy balance can justify equating it to eventual total heat; external steam, refrigerant, fluid, work, storage and exhaust can change that result. REQUIRED: BE-10 mixing/idle duty and measured input; dough heating and product destination; room emissions including motor loss.</t>
        </is>
      </c>
      <c r="AE322" s="97" t="str">
        <v>EQ-0317</v>
      </c>
      <c r="AF322" s="98" t="str">
        <v>dough mixer</v>
      </c>
      <c r="AG322" s="98" t="str">
        <v>REFERENCE_ONLY</v>
      </c>
      <c r="AH322" s="98" t="str">
        <v>Do not auto-use reference wattage. Resolve the missing heat data or document a project estimate.</v>
      </c>
    </row>
    <row r="323">
      <c r="A323" s="1" t="s">
        <v>2005</v>
      </c>
      <c r="B323" s="1" t="s">
        <v>2101</v>
      </c>
      <c r="C323" s="13" t="s">
        <v>87</v>
      </c>
      <c r="D323" s="14">
        <v>140.0</v>
      </c>
      <c r="E323" s="14">
        <v>0.0</v>
      </c>
      <c r="F323" s="13" t="s">
        <v>2102</v>
      </c>
      <c r="G323" s="18">
        <v>140.0</v>
      </c>
      <c r="H323" s="19">
        <f t="shared" ref="H323:H328" si="27">G323/1000</f>
        <v>0.14</v>
      </c>
      <c r="I323" s="1" t="s">
        <v>2103</v>
      </c>
      <c r="J323" s="1" t="s">
        <v>2104</v>
      </c>
      <c r="K323" s="1" t="s">
        <v>2105</v>
      </c>
      <c r="L323" s="11" t="s">
        <v>2106</v>
      </c>
      <c r="M323" s="1" t="s">
        <v>459</v>
      </c>
      <c r="N323" s="1" t="s">
        <v>42</v>
      </c>
      <c r="O323" s="1">
        <v>140.0</v>
      </c>
      <c r="P323" s="1">
        <v>140.0</v>
      </c>
      <c r="Q323" s="1">
        <v>0.0</v>
      </c>
      <c r="R323" s="1" t="s">
        <v>2012</v>
      </c>
      <c r="S323" s="1" t="s">
        <v>2107</v>
      </c>
      <c r="T323" s="1" t="s">
        <v>2103</v>
      </c>
      <c r="U323" s="1" t="s">
        <v>676</v>
      </c>
      <c r="V323" s="1" t="s">
        <v>46</v>
      </c>
      <c r="W323" s="1" t="s">
        <v>47</v>
      </c>
      <c r="X323" s="1" t="s">
        <v>48</v>
      </c>
      <c r="Y323" s="1" t="s">
        <v>49</v>
      </c>
      <c r="Z323" s="1" t="s">
        <v>50</v>
      </c>
      <c r="AA323" s="12">
        <v>140.0</v>
      </c>
      <c r="AB323" s="12">
        <f t="shared" si="2"/>
        <v>0.14</v>
      </c>
      <c r="AC323" s="13" t="s">
        <v>51</v>
      </c>
      <c r="AD323" s="13" t="s">
        <v>2102</v>
      </c>
      <c r="AE323" s="97" t="str">
        <v>EQ-0318</v>
      </c>
      <c r="AF323" s="98" t="str">
        <v>commercial food slicer</v>
      </c>
      <c r="AG323" s="98" t="str">
        <v>CONDITIONAL_MATCH</v>
      </c>
      <c r="AH323" s="98" t="str">
        <v>Match model or supported analogue, operating state, room allocation and all conditions in F. Use D/E only.</v>
      </c>
    </row>
    <row r="324">
      <c r="A324" s="1" t="s">
        <v>2005</v>
      </c>
      <c r="B324" s="1" t="s">
        <v>2108</v>
      </c>
      <c r="C324" s="13" t="s">
        <v>87</v>
      </c>
      <c r="D324" s="14">
        <v>440.0</v>
      </c>
      <c r="E324" s="14">
        <v>0.0</v>
      </c>
      <c r="F324" s="13" t="s">
        <v>2109</v>
      </c>
      <c r="G324" s="18">
        <v>440.0</v>
      </c>
      <c r="H324" s="19">
        <f t="shared" si="27"/>
        <v>0.44</v>
      </c>
      <c r="I324" s="1" t="s">
        <v>2110</v>
      </c>
      <c r="J324" s="1" t="s">
        <v>2111</v>
      </c>
      <c r="K324" s="1" t="s">
        <v>2112</v>
      </c>
      <c r="L324" s="11" t="s">
        <v>2113</v>
      </c>
      <c r="M324" s="1" t="s">
        <v>459</v>
      </c>
      <c r="N324" s="1" t="s">
        <v>42</v>
      </c>
      <c r="O324" s="1">
        <v>440.0</v>
      </c>
      <c r="P324" s="1">
        <v>440.0</v>
      </c>
      <c r="Q324" s="1">
        <v>0.0</v>
      </c>
      <c r="R324" s="1" t="s">
        <v>2012</v>
      </c>
      <c r="S324" s="1" t="s">
        <v>2114</v>
      </c>
      <c r="T324" s="1" t="s">
        <v>2110</v>
      </c>
      <c r="U324" s="1" t="s">
        <v>461</v>
      </c>
      <c r="V324" s="1" t="s">
        <v>46</v>
      </c>
      <c r="W324" s="1" t="s">
        <v>47</v>
      </c>
      <c r="X324" s="1" t="s">
        <v>48</v>
      </c>
      <c r="Y324" s="1" t="s">
        <v>49</v>
      </c>
      <c r="Z324" s="1" t="s">
        <v>50</v>
      </c>
      <c r="AA324" s="12">
        <v>440.0</v>
      </c>
      <c r="AB324" s="12">
        <f t="shared" si="2"/>
        <v>0.44</v>
      </c>
      <c r="AC324" s="13" t="s">
        <v>51</v>
      </c>
      <c r="AD324" s="13" t="s">
        <v>2109</v>
      </c>
      <c r="AE324" s="97" t="str">
        <v>EQ-0319</v>
      </c>
      <c r="AF324" s="98" t="str">
        <v>commercial coffee grinder</v>
      </c>
      <c r="AG324" s="98" t="str">
        <v>CONDITIONAL_MATCH</v>
      </c>
      <c r="AH324" s="98" t="str">
        <v>Match model or supported analogue, operating state, room allocation and all conditions in F. Use D/E only.</v>
      </c>
    </row>
    <row r="325">
      <c r="A325" s="1" t="s">
        <v>2005</v>
      </c>
      <c r="B325" s="1" t="s">
        <v>2115</v>
      </c>
      <c r="C325" s="13" t="s">
        <v>986</v>
      </c>
      <c r="D325" s="14">
        <v>1400.0</v>
      </c>
      <c r="E325" s="14">
        <v>700.0</v>
      </c>
      <c r="F325" s="13" t="s">
        <v>2116</v>
      </c>
      <c r="G325" s="18">
        <v>2100.0</v>
      </c>
      <c r="H325" s="19">
        <f t="shared" si="27"/>
        <v>2.1</v>
      </c>
      <c r="I325" s="1" t="s">
        <v>2117</v>
      </c>
      <c r="J325" s="1" t="s">
        <v>2118</v>
      </c>
      <c r="K325" s="1" t="s">
        <v>2119</v>
      </c>
      <c r="L325" s="11" t="s">
        <v>2120</v>
      </c>
      <c r="M325" s="1" t="s">
        <v>1302</v>
      </c>
      <c r="N325" s="1" t="s">
        <v>42</v>
      </c>
      <c r="O325" s="1">
        <v>6700.0</v>
      </c>
      <c r="P325" s="1">
        <v>1400.0</v>
      </c>
      <c r="Q325" s="1">
        <v>700.0</v>
      </c>
      <c r="R325" s="1" t="s">
        <v>2012</v>
      </c>
      <c r="S325" s="1" t="s">
        <v>2121</v>
      </c>
      <c r="T325" s="1" t="s">
        <v>2117</v>
      </c>
      <c r="U325" s="1" t="s">
        <v>1304</v>
      </c>
      <c r="V325" s="1" t="s">
        <v>46</v>
      </c>
      <c r="W325" s="1" t="s">
        <v>47</v>
      </c>
      <c r="X325" s="1" t="s">
        <v>48</v>
      </c>
      <c r="Y325" s="1" t="s">
        <v>49</v>
      </c>
      <c r="Z325" s="1" t="s">
        <v>50</v>
      </c>
      <c r="AA325" s="12">
        <v>2100.0</v>
      </c>
      <c r="AB325" s="12">
        <f t="shared" si="2"/>
        <v>2.1</v>
      </c>
      <c r="AC325" s="13" t="s">
        <v>51</v>
      </c>
      <c r="AD325" s="13" t="s">
        <v>2116</v>
      </c>
      <c r="AE325" s="97" t="str">
        <v>EQ-0320</v>
      </c>
      <c r="AF325" s="98" t="str">
        <v>glasswasher</v>
      </c>
      <c r="AG325" s="98" t="str">
        <v>CONDITIONAL_MATCH</v>
      </c>
      <c r="AH325" s="98" t="str">
        <v>Match model or supported analogue, operating state, room allocation and all conditions in F. Use D/E only.</v>
      </c>
    </row>
    <row r="326">
      <c r="A326" s="1" t="s">
        <v>2005</v>
      </c>
      <c r="B326" s="1" t="s">
        <v>2122</v>
      </c>
      <c r="C326" s="13" t="s">
        <v>243</v>
      </c>
      <c r="D326" s="14" t="s">
        <v>67</v>
      </c>
      <c r="E326" s="14" t="s">
        <v>67</v>
      </c>
      <c r="F326" s="7" t="inlineStr">
        <is>
          <t>Further research required if this item is used in the project. NUMERIC EXAMPLE: 15 W (0.015 kW); EXISTING REFERENCE — scope/state limits apply. TO COMPLETE: Complete installed controller/sensor/PSU/VFD inventory and location; hood capture. The verified 15 W is only the stated hood-controller assembly. Manufacturer source rechecked 19 Oct 2026: approximately 15 W for the hood controller with four temperature sensors, two air-purge units and one optic-sensor set. This is not the complete installation. D/E remain unknown; use documented project inputs in Room worksheet I:M once resolved.</t>
        </is>
      </c>
      <c r="G326" s="18">
        <v>15.0</v>
      </c>
      <c r="H326" s="19">
        <f t="shared" si="27"/>
        <v>0.015</v>
      </c>
      <c r="I326" s="1" t="s">
        <v>2124</v>
      </c>
      <c r="J326" s="1" t="s">
        <v>2125</v>
      </c>
      <c r="K326" s="1" t="s">
        <v>2126</v>
      </c>
      <c r="L326" s="11" t="s">
        <v>2127</v>
      </c>
      <c r="M326" s="1" t="s">
        <v>778</v>
      </c>
      <c r="N326" s="1" t="s">
        <v>582</v>
      </c>
      <c r="O326" s="1">
        <v>15.0</v>
      </c>
      <c r="P326" s="1">
        <v>15.0</v>
      </c>
      <c r="Q326" s="1">
        <v>0.0</v>
      </c>
      <c r="R326" s="1" t="s">
        <v>2012</v>
      </c>
      <c r="S326" s="1" t="s">
        <v>2128</v>
      </c>
      <c r="T326" s="1" t="s">
        <v>2124</v>
      </c>
      <c r="U326" s="1" t="s">
        <v>780</v>
      </c>
      <c r="V326" s="1" t="s">
        <v>200</v>
      </c>
      <c r="W326" s="1" t="s">
        <v>2129</v>
      </c>
      <c r="X326" s="1" t="s">
        <v>152</v>
      </c>
      <c r="Y326" s="1" t="s">
        <v>153</v>
      </c>
      <c r="Z326" s="1" t="s">
        <v>50</v>
      </c>
      <c r="AA326" s="16">
        <v>15.0</v>
      </c>
      <c r="AB326" s="16">
        <f t="shared" si="2"/>
        <v>0.015</v>
      </c>
      <c r="AC326" s="17" t="s">
        <v>201</v>
      </c>
      <c r="AD326" s="17" t="inlineStr">
        <is>
          <t>Further research required if this item is used in the project. Fully loaded controller: 4 temperature sensors, 2 purge units, 1 optic-sensor set Manufacturer approximately 15 W for this controller-and-sensor assembly at 24 VDC. Approximate sensible gain only if heat from all listed parts stays in the room. Excludes system controller, AC/DC losses, VFDs and hood fan. Exhaust capture can reduce room contribution; not complete hood-system heat. This retains the original reference, including any unresolved source limitations; it is not newly validated net room heat. REQUIRED: Complete installed controller/sensor/PSU/VFD inventory and location; hood capture. The verified 15 W is only the stated hood-controller assembly.</t>
        </is>
      </c>
      <c r="AE326" s="97" t="str">
        <v>EQ-0321</v>
      </c>
      <c r="AF326" s="98" t="str">
        <v>commercial exhaust hood control system</v>
      </c>
      <c r="AG326" s="98" t="str">
        <v>REFERENCE_ONLY</v>
      </c>
      <c r="AH326" s="98" t="str">
        <v>Do not auto-use reference wattage. Resolve the missing heat data or document a project estimate.</v>
      </c>
    </row>
    <row r="327">
      <c r="A327" s="1" t="s">
        <v>2005</v>
      </c>
      <c r="B327" s="1" t="s">
        <v>2131</v>
      </c>
      <c r="C327" s="7" t="s">
        <v>921</v>
      </c>
      <c r="D327" s="8">
        <v>264.0</v>
      </c>
      <c r="E327" s="8">
        <v>0.0</v>
      </c>
      <c r="F327" s="7" t="s">
        <v>2132</v>
      </c>
      <c r="G327" s="18">
        <v>264.0</v>
      </c>
      <c r="H327" s="19">
        <f t="shared" si="27"/>
        <v>0.264</v>
      </c>
      <c r="I327" s="1" t="s">
        <v>2133</v>
      </c>
      <c r="J327" s="1" t="s">
        <v>2134</v>
      </c>
      <c r="K327" s="1" t="s">
        <v>2135</v>
      </c>
      <c r="L327" s="11" t="s">
        <v>58</v>
      </c>
      <c r="M327" s="1" t="s">
        <v>968</v>
      </c>
      <c r="N327" s="1" t="s">
        <v>42</v>
      </c>
      <c r="O327" s="1" t="s">
        <v>2136</v>
      </c>
      <c r="P327" s="1">
        <v>264.0</v>
      </c>
      <c r="Q327" s="1">
        <v>0.0</v>
      </c>
      <c r="R327" s="1" t="s">
        <v>2012</v>
      </c>
      <c r="S327" s="1" t="s">
        <v>2137</v>
      </c>
      <c r="T327" s="1" t="s">
        <v>2133</v>
      </c>
      <c r="U327" s="1" t="s">
        <v>971</v>
      </c>
      <c r="V327" s="1" t="s">
        <v>46</v>
      </c>
      <c r="W327" s="1" t="s">
        <v>47</v>
      </c>
      <c r="X327" s="1" t="s">
        <v>176</v>
      </c>
      <c r="Y327" s="1" t="s">
        <v>189</v>
      </c>
      <c r="Z327" s="1" t="s">
        <v>50</v>
      </c>
      <c r="AA327" s="12">
        <v>264.0</v>
      </c>
      <c r="AB327" s="12">
        <f t="shared" si="2"/>
        <v>0.264</v>
      </c>
      <c r="AC327" s="13" t="s">
        <v>51</v>
      </c>
      <c r="AD327" s="13" t="s">
        <v>2132</v>
      </c>
      <c r="AE327" s="97" t="str">
        <v>EQ-0322</v>
      </c>
      <c r="AF327" s="98" t="str">
        <v>refrigerated preparation bench</v>
      </c>
      <c r="AG327" s="98" t="str">
        <v>CONDITIONAL_MATCH</v>
      </c>
      <c r="AH327" s="98" t="str">
        <v>Match model or supported analogue, operating state, room allocation and all conditions in F. Use D/E only.</v>
      </c>
    </row>
    <row r="328">
      <c r="A328" s="1" t="s">
        <v>2005</v>
      </c>
      <c r="B328" s="1" t="s">
        <v>2138</v>
      </c>
      <c r="C328" s="13" t="s">
        <v>194</v>
      </c>
      <c r="D328" s="14" t="s">
        <v>67</v>
      </c>
      <c r="E328" s="14" t="s">
        <v>67</v>
      </c>
      <c r="F328" s="7" t="inlineStr">
        <is>
          <t>Further research required if this item is used in the project. NUMERIC EXAMPLE: 1050 W (1.05 kW); EXISTING REFERENCE — scope/state limits apply. TO COMPLETE: Supplier confirmation of thermal-rejection basis and net room heat at actual ambient, cabinet temperature and loading. Manufacturer lists1050 W thermal rejection and1050 W electrical power. Rejection example; distinguish net room heat removed into cabinet. Confirm rating state with supplier before sizing; product/ambient conditions matter. D/E remain unknown; use documented project inputs in Room worksheet I:M once resolved.</t>
        </is>
      </c>
      <c r="G328" s="18">
        <v>1050.0</v>
      </c>
      <c r="H328" s="19">
        <f t="shared" si="27"/>
        <v>1.05</v>
      </c>
      <c r="I328" s="1" t="s">
        <v>2140</v>
      </c>
      <c r="J328" s="1" t="s">
        <v>2141</v>
      </c>
      <c r="K328" s="1" t="s">
        <v>2142</v>
      </c>
      <c r="L328" s="11" t="s">
        <v>2143</v>
      </c>
      <c r="M328" s="1" t="s">
        <v>459</v>
      </c>
      <c r="N328" s="1" t="s">
        <v>42</v>
      </c>
      <c r="O328" s="1">
        <v>1050.0</v>
      </c>
      <c r="P328" s="1" t="s">
        <v>486</v>
      </c>
      <c r="Q328" s="1" t="s">
        <v>486</v>
      </c>
      <c r="R328" s="1" t="s">
        <v>2012</v>
      </c>
      <c r="S328" s="1" t="s">
        <v>2144</v>
      </c>
      <c r="T328" s="1" t="s">
        <v>2140</v>
      </c>
      <c r="U328" s="1" t="s">
        <v>1451</v>
      </c>
      <c r="V328" s="1" t="s">
        <v>200</v>
      </c>
      <c r="W328" s="1" t="s">
        <v>2145</v>
      </c>
      <c r="X328" s="1" t="s">
        <v>176</v>
      </c>
      <c r="Y328" s="1" t="s">
        <v>189</v>
      </c>
      <c r="Z328" s="1" t="s">
        <v>50</v>
      </c>
      <c r="AA328" s="16">
        <v>1050.0</v>
      </c>
      <c r="AB328" s="16">
        <f t="shared" si="2"/>
        <v>1.05</v>
      </c>
      <c r="AC328" s="17" t="s">
        <v>201</v>
      </c>
      <c r="AD328" s="17" t="inlineStr">
        <is>
          <t>Further research required if this item is used in the project. Published thermal heat rejection; integral condenser Manufacturer lists1050 W thermal rejection and1050 W electrical power. Rejection example; distinguish net room heat removed into cabinet. Confirm rating state with supplier before sizing; product/ambient conditions matter. This retains the original reference, including any unresolved source limitations; it is not newly validated net room heat. REQUIRED: Supplier confirmation of thermal-rejection basis and net room heat at actual ambient, cabinet temperature and loading.</t>
        </is>
      </c>
      <c r="AE328" s="97" t="str">
        <v>EQ-0323</v>
      </c>
      <c r="AF328" s="98" t="str">
        <v>refrigerated display cabinet</v>
      </c>
      <c r="AG328" s="98" t="str">
        <v>REFERENCE_ONLY</v>
      </c>
      <c r="AH328" s="98" t="str">
        <v>Do not auto-use reference wattage. Resolve the missing heat data or document a project estimate.</v>
      </c>
    </row>
    <row r="329">
      <c r="A329" s="1" t="s">
        <v>2005</v>
      </c>
      <c r="B329" s="1" t="s">
        <v>2147</v>
      </c>
      <c r="C329" s="13" t="s">
        <v>479</v>
      </c>
      <c r="D329" s="14" t="s">
        <v>67</v>
      </c>
      <c r="E329" s="14" t="s">
        <v>67</v>
      </c>
      <c r="F329" s="7" t="inlineStr">
        <is>
          <t>Further research required if this item is used in the project. USER-REQUESTED HYPOTHETICAL EXAMPLE: 2000 W (2 kW). Illustrative air-cooled dessert machine: assumed 1,000 W electrical input plus 1,000 W heat removed from externally supplied product =2,000 W rejection into room; same-room heat extraction assumed negligible. Assumed for illustration, not sourced or project-approved. Sensible/latent split unverified. TO COMPLETE: Exact machine and production rate; air/water condenser location; product cooling and moisture balance. Need machine/model, throughput, air/water condenser and product cooling load; compressor capacity is not heat rejected. Reference link is supporting method/product context only; no numeric room-heat value established. D/E remain unknown; use documented project inputs in Room worksheet I:M once resolved.</t>
        </is>
      </c>
      <c r="G329" s="18" t="s">
        <v>616</v>
      </c>
      <c r="H329" s="19" t="s">
        <v>616</v>
      </c>
      <c r="I329" s="1" t="s">
        <v>617</v>
      </c>
      <c r="J329" s="1" t="s">
        <v>2149</v>
      </c>
      <c r="K329" s="1" t="s">
        <v>2150</v>
      </c>
      <c r="L329" s="11" t="s">
        <v>58</v>
      </c>
      <c r="M329" s="1" t="s">
        <v>621</v>
      </c>
      <c r="N329" s="1" t="s">
        <v>42</v>
      </c>
      <c r="O329" s="1" t="s">
        <v>606</v>
      </c>
      <c r="P329" s="1" t="s">
        <v>486</v>
      </c>
      <c r="Q329" s="1" t="s">
        <v>486</v>
      </c>
      <c r="R329" s="1" t="s">
        <v>2012</v>
      </c>
      <c r="S329" s="1" t="s">
        <v>2151</v>
      </c>
      <c r="T329" s="1" t="s">
        <v>617</v>
      </c>
      <c r="U329" s="1" t="s">
        <v>1698</v>
      </c>
      <c r="V329" s="1" t="s">
        <v>200</v>
      </c>
      <c r="W329" s="1" t="s">
        <v>2152</v>
      </c>
      <c r="X329" s="1" t="s">
        <v>176</v>
      </c>
      <c r="Y329" s="1" t="s">
        <v>189</v>
      </c>
      <c r="Z329" s="1" t="s">
        <v>50</v>
      </c>
      <c r="AA329" s="16">
        <v>2000.0</v>
      </c>
      <c r="AB329" s="16">
        <f t="shared" si="2"/>
        <v>2</v>
      </c>
      <c r="AC329" s="17" t="s">
        <v>623</v>
      </c>
      <c r="AD329" s="17" t="inlineStr">
        <is>
          <t>Further research required if this item is used in the project. Illustrative air-cooled dessert machine: assumed 1,000 W electrical input plus 1,000 W heat removed from externally supplied product =2,000 W rejection into room; same-room heat extraction assumed negligible. REQUIRED: Exact machine and production rate; air/water condenser location; product cooling and moisture balance.</t>
        </is>
      </c>
      <c r="AE329" s="97" t="str">
        <v>EQ-0324</v>
      </c>
      <c r="AF329" s="98" t="str">
        <v>frozen dessert / ice cream machine</v>
      </c>
      <c r="AG329" s="98" t="str">
        <v>REFERENCE_ONLY</v>
      </c>
      <c r="AH329" s="98" t="str">
        <v>Do not auto-use reference wattage. Resolve the missing heat data or document a project estimate.</v>
      </c>
    </row>
    <row r="330">
      <c r="A330" s="1" t="s">
        <v>1355</v>
      </c>
      <c r="B330" s="1" t="s">
        <v>2154</v>
      </c>
      <c r="C330" s="13" t="s">
        <v>243</v>
      </c>
      <c r="D330" s="14" t="s">
        <v>67</v>
      </c>
      <c r="E330" s="14" t="s">
        <v>67</v>
      </c>
      <c r="F330" s="7" t="inlineStr">
        <is>
          <t>Further research required if this item is used in the project. NUMERIC EXAMPLE: 0.5 W (0.0005 kW); EXISTING REFERENCE — scope/state limits apply. TO COMPLETE: Complete bed configuration including mattress pump and other options; standby/movement/charging schedule and local heat. Manufacturer approximate 0.5 W standby for CA30/CA40. Controller contribution only, not a complete occupied hospital-bed allowance. Excludes air-mattress pump, bed electronics, lighting, battery charging and actuators in motion. 120 W output rating is not standby heat. D/E remain unknown; use documented project inputs in Room worksheet I:M once resolved.</t>
        </is>
      </c>
      <c r="G330" s="18">
        <v>0.5</v>
      </c>
      <c r="H330" s="19">
        <f t="shared" ref="H330:H331" si="28">G330/1000</f>
        <v>0.0005</v>
      </c>
      <c r="I330" s="1" t="s">
        <v>2156</v>
      </c>
      <c r="J330" s="1" t="s">
        <v>2157</v>
      </c>
      <c r="K330" s="1" t="s">
        <v>2158</v>
      </c>
      <c r="L330" s="11" t="s">
        <v>2159</v>
      </c>
      <c r="M330" s="1" t="s">
        <v>778</v>
      </c>
      <c r="N330" s="1" t="s">
        <v>42</v>
      </c>
      <c r="O330" s="1">
        <v>0.5</v>
      </c>
      <c r="P330" s="1">
        <v>0.5</v>
      </c>
      <c r="Q330" s="1">
        <v>0.0</v>
      </c>
      <c r="R330" s="1" t="s">
        <v>1361</v>
      </c>
      <c r="S330" s="1" t="s">
        <v>2160</v>
      </c>
      <c r="T330" s="1" t="s">
        <v>2156</v>
      </c>
      <c r="U330" s="1" t="s">
        <v>780</v>
      </c>
      <c r="V330" s="1" t="s">
        <v>200</v>
      </c>
      <c r="W330" s="1" t="s">
        <v>2161</v>
      </c>
      <c r="X330" s="1" t="s">
        <v>1202</v>
      </c>
      <c r="Y330" s="1" t="s">
        <v>1203</v>
      </c>
      <c r="Z330" s="1" t="s">
        <v>50</v>
      </c>
      <c r="AA330" s="16">
        <v>0.5</v>
      </c>
      <c r="AB330" s="16">
        <f t="shared" si="2"/>
        <v>0.0005</v>
      </c>
      <c r="AC330" s="17" t="s">
        <v>201</v>
      </c>
      <c r="AD330" s="17" t="inlineStr">
        <is>
          <t>Further research required if this item is used in the project. Standby at 230 VAC; no bed movement or battery charging Manufacturer approximate 0.5 W standby for CA30/CA40. Controller contribution only, not a complete occupied hospital-bed allowance. Excludes air-mattress pump, bed electronics, lighting, battery charging and actuators in motion. 120 W output rating is not standby heat. This retains the original reference, including any unresolved source limitations; it is not newly validated net room heat. REQUIRED: Complete bed configuration including mattress pump and other options; standby/movement/charging schedule and local heat.</t>
        </is>
      </c>
      <c r="AE330" s="97" t="str">
        <v>EQ-0325</v>
      </c>
      <c r="AF330" s="98" t="str">
        <v>hospital bed - powered</v>
      </c>
      <c r="AG330" s="98" t="str">
        <v>REFERENCE_ONLY</v>
      </c>
      <c r="AH330" s="98" t="str">
        <v>Do not auto-use reference wattage. Resolve the missing heat data or document a project estimate.</v>
      </c>
    </row>
    <row r="331">
      <c r="A331" s="1" t="s">
        <v>1355</v>
      </c>
      <c r="B331" s="1" t="s">
        <v>2163</v>
      </c>
      <c r="C331" s="13" t="s">
        <v>129</v>
      </c>
      <c r="D331" s="14">
        <v>2.5</v>
      </c>
      <c r="E331" s="14">
        <v>0.0</v>
      </c>
      <c r="F331" s="13" t="s">
        <v>2164</v>
      </c>
      <c r="G331" s="18">
        <v>2.5</v>
      </c>
      <c r="H331" s="19">
        <f t="shared" si="28"/>
        <v>0.0025</v>
      </c>
      <c r="I331" s="1" t="s">
        <v>2165</v>
      </c>
      <c r="J331" s="1" t="s">
        <v>2166</v>
      </c>
      <c r="K331" s="1" t="s">
        <v>2167</v>
      </c>
      <c r="L331" s="11" t="s">
        <v>2168</v>
      </c>
      <c r="M331" s="1" t="s">
        <v>778</v>
      </c>
      <c r="N331" s="1" t="s">
        <v>42</v>
      </c>
      <c r="O331" s="1">
        <v>2.5</v>
      </c>
      <c r="P331" s="1">
        <v>2.5</v>
      </c>
      <c r="Q331" s="1">
        <v>0.0</v>
      </c>
      <c r="R331" s="1" t="s">
        <v>1361</v>
      </c>
      <c r="S331" s="1" t="s">
        <v>2169</v>
      </c>
      <c r="T331" s="1" t="s">
        <v>2165</v>
      </c>
      <c r="U331" s="1" t="s">
        <v>780</v>
      </c>
      <c r="V331" s="1" t="s">
        <v>46</v>
      </c>
      <c r="W331" s="1" t="s">
        <v>47</v>
      </c>
      <c r="X331" s="1" t="s">
        <v>398</v>
      </c>
      <c r="Y331" s="1" t="s">
        <v>399</v>
      </c>
      <c r="Z331" s="1" t="s">
        <v>50</v>
      </c>
      <c r="AA331" s="12">
        <v>2.5</v>
      </c>
      <c r="AB331" s="12">
        <f t="shared" si="2"/>
        <v>0.0025</v>
      </c>
      <c r="AC331" s="13" t="s">
        <v>51</v>
      </c>
      <c r="AD331" s="13" t="s">
        <v>2164</v>
      </c>
      <c r="AE331" s="97" t="str">
        <v>EQ-0326</v>
      </c>
      <c r="AF331" s="98" t="str">
        <v>electric patient hoist - charging station</v>
      </c>
      <c r="AG331" s="98" t="str">
        <v>CONDITIONAL_MATCH</v>
      </c>
      <c r="AH331" s="98" t="str">
        <v>Match model or supported analogue, operating state, room allocation and all conditions in F. Use D/E only.</v>
      </c>
    </row>
    <row r="332">
      <c r="A332" s="1" t="s">
        <v>1355</v>
      </c>
      <c r="B332" s="1" t="s">
        <v>2170</v>
      </c>
      <c r="C332" s="13" t="s">
        <v>479</v>
      </c>
      <c r="D332" s="14" t="s">
        <v>67</v>
      </c>
      <c r="E332" s="14" t="s">
        <v>67</v>
      </c>
      <c r="F332" s="7" t="inlineStr">
        <is>
          <t>Further research required if this item is used in the project. USER-REQUESTED HYPOTHETICAL EXAMPLE: 20 W (0.02 kW). Illustrative five-pump dock: assumed 4 W local loss per occupied slot ×5 =20 W; battery stored energy excluded; not a measured infusion-system specification. Assumed for illustration, not sourced or project-approved. Sensible/latent split unverified. TO COMPLETE: Dock/pump models, slot count and charging states; AC/DC losses and battery heat; concurrent operation. Need station slot count, pump states, AC input/DC output and battery charge duty; do not multiply supply capacity by slots. Reference link is supporting method/product context only; no numeric room-heat value established. D/E remain unknown; use documented project inputs in Room worksheet I:M once resolved.</t>
        </is>
      </c>
      <c r="G332" s="18" t="s">
        <v>616</v>
      </c>
      <c r="H332" s="19" t="s">
        <v>616</v>
      </c>
      <c r="I332" s="1" t="s">
        <v>617</v>
      </c>
      <c r="J332" s="1" t="s">
        <v>2172</v>
      </c>
      <c r="K332" s="1" t="s">
        <v>2173</v>
      </c>
      <c r="L332" s="11" t="s">
        <v>1696</v>
      </c>
      <c r="M332" s="1" t="s">
        <v>621</v>
      </c>
      <c r="N332" s="1" t="s">
        <v>42</v>
      </c>
      <c r="O332" s="1" t="s">
        <v>606</v>
      </c>
      <c r="P332" s="1" t="s">
        <v>486</v>
      </c>
      <c r="Q332" s="1" t="s">
        <v>486</v>
      </c>
      <c r="R332" s="1" t="s">
        <v>1361</v>
      </c>
      <c r="S332" s="1" t="s">
        <v>2174</v>
      </c>
      <c r="T332" s="1" t="s">
        <v>617</v>
      </c>
      <c r="U332" s="1" t="s">
        <v>1698</v>
      </c>
      <c r="V332" s="1" t="s">
        <v>200</v>
      </c>
      <c r="W332" s="1" t="s">
        <v>2175</v>
      </c>
      <c r="X332" s="1" t="s">
        <v>398</v>
      </c>
      <c r="Y332" s="1" t="s">
        <v>399</v>
      </c>
      <c r="Z332" s="1" t="s">
        <v>50</v>
      </c>
      <c r="AA332" s="16">
        <v>20.0</v>
      </c>
      <c r="AB332" s="16">
        <f t="shared" si="2"/>
        <v>0.02</v>
      </c>
      <c r="AC332" s="17" t="s">
        <v>623</v>
      </c>
      <c r="AD332" s="17" t="inlineStr">
        <is>
          <t>Further research required if this item is used in the project. Illustrative five-pump dock: assumed 4 W local loss per occupied slot ×5 =20 W; battery stored energy excluded; not a measured infusion-system specification. REQUIRED: Dock/pump models, slot count and charging states; AC/DC losses and battery heat; concurrent operation.</t>
        </is>
      </c>
      <c r="AE332" s="97" t="str">
        <v>EQ-0327</v>
      </c>
      <c r="AF332" s="98" t="str">
        <v>infusion pump charging station</v>
      </c>
      <c r="AG332" s="98" t="str">
        <v>REFERENCE_ONLY</v>
      </c>
      <c r="AH332" s="98" t="str">
        <v>Do not auto-use reference wattage. Resolve the missing heat data or document a project estimate.</v>
      </c>
    </row>
    <row r="333">
      <c r="A333" s="1" t="s">
        <v>1355</v>
      </c>
      <c r="B333" s="1" t="s">
        <v>2177</v>
      </c>
      <c r="C333" s="13" t="s">
        <v>479</v>
      </c>
      <c r="D333" s="14" t="s">
        <v>67</v>
      </c>
      <c r="E333" s="14" t="s">
        <v>67</v>
      </c>
      <c r="F333" s="7" t="inlineStr">
        <is>
          <t>Further research required if this item is used in the project. NUMERIC EXAMPLE: 15.2 W (0.0152 kW); ELECTRICAL INPUT — not established room heat. TO COMPLETE: Ventilator model/state, real input and battery charging; gas/patient energy paths and local supply losses. Battery charging and AC supply losses separate; gas/patient heat boundary not quantified. D/E remain unknown; use documented project inputs in Room worksheet I:M once resolved.</t>
        </is>
      </c>
      <c r="G333" s="18" t="s">
        <v>616</v>
      </c>
      <c r="H333" s="19" t="s">
        <v>616</v>
      </c>
      <c r="I333" s="1" t="s">
        <v>2179</v>
      </c>
      <c r="J333" s="1" t="s">
        <v>2180</v>
      </c>
      <c r="K333" s="1" t="s">
        <v>2181</v>
      </c>
      <c r="L333" s="11" t="s">
        <v>2182</v>
      </c>
      <c r="M333" s="1" t="s">
        <v>485</v>
      </c>
      <c r="N333" s="1" t="s">
        <v>42</v>
      </c>
      <c r="O333" s="1">
        <v>15.2</v>
      </c>
      <c r="P333" s="1" t="s">
        <v>486</v>
      </c>
      <c r="Q333" s="1" t="s">
        <v>486</v>
      </c>
      <c r="R333" s="1" t="s">
        <v>1361</v>
      </c>
      <c r="S333" s="1" t="s">
        <v>2183</v>
      </c>
      <c r="T333" s="1" t="s">
        <v>2179</v>
      </c>
      <c r="U333" s="1" t="s">
        <v>1717</v>
      </c>
      <c r="V333" s="1" t="s">
        <v>200</v>
      </c>
      <c r="W333" s="1" t="s">
        <v>2184</v>
      </c>
      <c r="X333" s="1" t="s">
        <v>48</v>
      </c>
      <c r="Y333" s="1" t="s">
        <v>49</v>
      </c>
      <c r="Z333" s="1" t="s">
        <v>50</v>
      </c>
      <c r="AA333" s="16">
        <v>15.2</v>
      </c>
      <c r="AB333" s="16">
        <f t="shared" si="2"/>
        <v>0.0152</v>
      </c>
      <c r="AC333" s="17" t="s">
        <v>878</v>
      </c>
      <c r="AD333" s="17" t="inlineStr">
        <is>
          <t>Further research required if this item is used in the project. Existing electrical reference for Medical ventilator: 15.2 W. Battery charging and AC supply losses separate; gas/patient heat boundary not quantified. This is not a measured sensible/latent room load. Only a closed energy balance can justify equating it to eventual total heat; external steam, refrigerant, fluid, work, storage and exhaust can change that result. REQUIRED: Ventilator model/state, real input and battery charging; gas/patient energy paths and local supply losses.</t>
        </is>
      </c>
      <c r="AE333" s="97" t="str">
        <v>EQ-0328</v>
      </c>
      <c r="AF333" s="98" t="str">
        <v>medical ventilator</v>
      </c>
      <c r="AG333" s="98" t="str">
        <v>REFERENCE_ONLY</v>
      </c>
      <c r="AH333" s="98" t="str">
        <v>Do not auto-use reference wattage. Resolve the missing heat data or document a project estimate.</v>
      </c>
    </row>
    <row r="334">
      <c r="A334" s="1" t="s">
        <v>1355</v>
      </c>
      <c r="B334" s="1" t="s">
        <v>2186</v>
      </c>
      <c r="C334" s="13" t="s">
        <v>2187</v>
      </c>
      <c r="D334" s="14" t="s">
        <v>67</v>
      </c>
      <c r="E334" s="14" t="s">
        <v>67</v>
      </c>
      <c r="F334" s="7" t="inlineStr">
        <is>
          <t>Further research required if this item is used in the project. NUMERIC EXAMPLE: 166 W (0.166 kW); EXISTING REFERENCE — scope/state limits apply. TO COMPLETE: Actual anaesthesia workstation and use state; gas/scavenging boundary and manufacturer sensible/latent emissions. Existing historical reference 166 W remains in G; it is not a verified sensible/latent split or confirmation of the installed model. D/E remain unknown; use documented project inputs in Room worksheet I:M once resolved.</t>
        </is>
      </c>
      <c r="G334" s="18">
        <v>166.0</v>
      </c>
      <c r="H334" s="19">
        <f t="shared" ref="H334:H335" si="29">G334/1000</f>
        <v>0.166</v>
      </c>
      <c r="I334" s="1" t="s">
        <v>1358</v>
      </c>
      <c r="J334" s="1" t="s">
        <v>1359</v>
      </c>
      <c r="K334" s="1" t="s">
        <v>2189</v>
      </c>
      <c r="L334" s="11" t="s">
        <v>943</v>
      </c>
      <c r="M334" s="1" t="s">
        <v>459</v>
      </c>
      <c r="N334" s="1" t="s">
        <v>42</v>
      </c>
      <c r="O334" s="1" t="s">
        <v>606</v>
      </c>
      <c r="P334" s="1" t="s">
        <v>486</v>
      </c>
      <c r="Q334" s="1" t="s">
        <v>486</v>
      </c>
      <c r="R334" s="1" t="s">
        <v>1361</v>
      </c>
      <c r="S334" s="1" t="s">
        <v>2190</v>
      </c>
      <c r="T334" s="1" t="s">
        <v>1358</v>
      </c>
      <c r="U334" s="1" t="s">
        <v>608</v>
      </c>
      <c r="V334" s="1" t="s">
        <v>200</v>
      </c>
      <c r="W334" s="1" t="s">
        <v>2191</v>
      </c>
      <c r="X334" s="1" t="s">
        <v>48</v>
      </c>
      <c r="Y334" s="1" t="s">
        <v>49</v>
      </c>
      <c r="Z334" s="1" t="s">
        <v>50</v>
      </c>
      <c r="AA334" s="16">
        <v>166.0</v>
      </c>
      <c r="AB334" s="16">
        <f t="shared" si="2"/>
        <v>0.166</v>
      </c>
      <c r="AC334" s="17" t="s">
        <v>201</v>
      </c>
      <c r="AD334" s="17" t="inlineStr">
        <is>
          <t>Further research required if this item is used in the project. 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Actual anaesthesia workstation and use state; gas/scavenging boundary and manufacturer sensible/latent emissions.</t>
        </is>
      </c>
      <c r="AE334" s="97" t="str">
        <v>EQ-0329</v>
      </c>
      <c r="AF334" s="98" t="str">
        <v>anaesthesia workstation</v>
      </c>
      <c r="AG334" s="98" t="str">
        <v>REFERENCE_ONLY</v>
      </c>
      <c r="AH334" s="98" t="str">
        <v>Do not auto-use reference wattage. Resolve the missing heat data or document a project estimate.</v>
      </c>
    </row>
    <row r="335">
      <c r="A335" s="1" t="s">
        <v>1355</v>
      </c>
      <c r="B335" s="1" t="s">
        <v>2193</v>
      </c>
      <c r="C335" s="13" t="s">
        <v>2187</v>
      </c>
      <c r="D335" s="14" t="s">
        <v>67</v>
      </c>
      <c r="E335" s="14" t="s">
        <v>67</v>
      </c>
      <c r="F335" s="7" t="inlineStr">
        <is>
          <t>Further research required if this item is used in the project. NUMERIC EXAMPLE: 109 W (0.109 kW); EXISTING REFERENCE — scope/state limits apply. TO COMPLETE: Electrosurgical model, output setting and exposure duty; generator losses, patient energy and smoke extraction. Existing historical reference 109 W remains in G; it is not a verified sensible/latent split or confirmation of the installed model. D/E remain unknown; use documented project inputs in Room worksheet I:M once resolved.</t>
        </is>
      </c>
      <c r="G335" s="18">
        <v>109.0</v>
      </c>
      <c r="H335" s="19">
        <f t="shared" si="29"/>
        <v>0.109</v>
      </c>
      <c r="I335" s="1" t="s">
        <v>1358</v>
      </c>
      <c r="J335" s="1" t="s">
        <v>1359</v>
      </c>
      <c r="K335" s="1" t="s">
        <v>2195</v>
      </c>
      <c r="L335" s="11" t="s">
        <v>943</v>
      </c>
      <c r="M335" s="1" t="s">
        <v>459</v>
      </c>
      <c r="N335" s="1" t="s">
        <v>42</v>
      </c>
      <c r="O335" s="1" t="s">
        <v>606</v>
      </c>
      <c r="P335" s="1" t="s">
        <v>486</v>
      </c>
      <c r="Q335" s="1" t="s">
        <v>486</v>
      </c>
      <c r="R335" s="1" t="s">
        <v>1361</v>
      </c>
      <c r="S335" s="1" t="s">
        <v>2196</v>
      </c>
      <c r="T335" s="1" t="s">
        <v>1358</v>
      </c>
      <c r="U335" s="1" t="s">
        <v>608</v>
      </c>
      <c r="V335" s="1" t="s">
        <v>200</v>
      </c>
      <c r="W335" s="1" t="s">
        <v>2197</v>
      </c>
      <c r="X335" s="1" t="s">
        <v>48</v>
      </c>
      <c r="Y335" s="1" t="s">
        <v>49</v>
      </c>
      <c r="Z335" s="1" t="s">
        <v>50</v>
      </c>
      <c r="AA335" s="16">
        <v>109.0</v>
      </c>
      <c r="AB335" s="16">
        <f t="shared" si="2"/>
        <v>0.109</v>
      </c>
      <c r="AC335" s="17" t="s">
        <v>201</v>
      </c>
      <c r="AD335" s="17" t="inlineStr">
        <is>
          <t>Further research required if this item is used in the project. 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Electrosurgical model, output setting and exposure duty; generator losses, patient energy and smoke extraction.</t>
        </is>
      </c>
      <c r="AE335" s="97" t="str">
        <v>EQ-0330</v>
      </c>
      <c r="AF335" s="98" t="str">
        <v>electrosurgical unit</v>
      </c>
      <c r="AG335" s="98" t="str">
        <v>REFERENCE_ONLY</v>
      </c>
      <c r="AH335" s="98" t="str">
        <v>Do not auto-use reference wattage. Resolve the missing heat data or document a project estimate.</v>
      </c>
    </row>
    <row r="336">
      <c r="A336" s="1" t="s">
        <v>1355</v>
      </c>
      <c r="B336" s="1" t="s">
        <v>2199</v>
      </c>
      <c r="C336" s="13" t="s">
        <v>479</v>
      </c>
      <c r="D336" s="14" t="s">
        <v>67</v>
      </c>
      <c r="E336" s="14" t="s">
        <v>67</v>
      </c>
      <c r="F336" s="7" t="inlineStr">
        <is>
          <t>Further research required if this item is used in the project. USER-REQUESTED HYPOTHETICAL EXAMPLE: 100 W (0.1 kW). Illustrative endoscopy processor only: assumed measured real input of 100 W, all dissipating locally; separate light source/display excluded. Does not convert the existing VA figure to W. Assumed for illustration, not sourced or project-approved. Sensible/latent split unverified. TO COMPLETE: Real watts or thermal emissions for processor, light source and monitor; VA is not sufficient. VA cannot be entered as W. Obtain real input/thermal specification; light source and display separate. D/E remain unknown; use documented project inputs in Room worksheet I:M once resolved.</t>
        </is>
      </c>
      <c r="G336" s="18" t="s">
        <v>616</v>
      </c>
      <c r="H336" s="19" t="s">
        <v>616</v>
      </c>
      <c r="I336" s="1" t="s">
        <v>2201</v>
      </c>
      <c r="J336" s="1" t="s">
        <v>2202</v>
      </c>
      <c r="K336" s="1" t="s">
        <v>2203</v>
      </c>
      <c r="L336" s="11" t="s">
        <v>2204</v>
      </c>
      <c r="M336" s="1" t="s">
        <v>2205</v>
      </c>
      <c r="N336" s="1" t="s">
        <v>42</v>
      </c>
      <c r="O336" s="1" t="s">
        <v>606</v>
      </c>
      <c r="P336" s="1" t="s">
        <v>486</v>
      </c>
      <c r="Q336" s="1" t="s">
        <v>486</v>
      </c>
      <c r="R336" s="1" t="s">
        <v>1361</v>
      </c>
      <c r="S336" s="1" t="s">
        <v>2206</v>
      </c>
      <c r="T336" s="1" t="s">
        <v>2201</v>
      </c>
      <c r="U336" s="1" t="s">
        <v>2207</v>
      </c>
      <c r="V336" s="1" t="s">
        <v>200</v>
      </c>
      <c r="W336" s="1" t="s">
        <v>2208</v>
      </c>
      <c r="X336" s="1" t="s">
        <v>48</v>
      </c>
      <c r="Y336" s="1" t="s">
        <v>49</v>
      </c>
      <c r="Z336" s="1" t="s">
        <v>50</v>
      </c>
      <c r="AA336" s="16">
        <v>100.0</v>
      </c>
      <c r="AB336" s="16">
        <f t="shared" si="2"/>
        <v>0.1</v>
      </c>
      <c r="AC336" s="17" t="s">
        <v>623</v>
      </c>
      <c r="AD336" s="17" t="inlineStr">
        <is>
          <t>Further research required if this item is used in the project. Illustrative endoscopy processor only: assumed measured real input of 100 W, all dissipating locally; separate light source/display excluded. Does not convert the existing VA figure to W. REQUIRED: Real watts or thermal emissions for processor, light source and monitor; VA is not sufficient.</t>
        </is>
      </c>
      <c r="AE336" s="97" t="str">
        <v>EQ-0331</v>
      </c>
      <c r="AF336" s="98" t="str">
        <v>endoscopy processor</v>
      </c>
      <c r="AG336" s="98" t="str">
        <v>REFERENCE_ONLY</v>
      </c>
      <c r="AH336" s="98" t="str">
        <v>Do not auto-use reference wattage. Resolve the missing heat data or document a project estimate.</v>
      </c>
    </row>
    <row r="337">
      <c r="A337" s="1" t="s">
        <v>1355</v>
      </c>
      <c r="B337" s="1" t="s">
        <v>2210</v>
      </c>
      <c r="C337" s="13" t="s">
        <v>35</v>
      </c>
      <c r="D337" s="14">
        <v>50.0</v>
      </c>
      <c r="E337" s="14">
        <v>0.0</v>
      </c>
      <c r="F337" s="13" t="s">
        <v>2211</v>
      </c>
      <c r="G337" s="18">
        <v>50.0</v>
      </c>
      <c r="H337" s="19">
        <f>G337/1000</f>
        <v>0.05</v>
      </c>
      <c r="I337" s="1" t="s">
        <v>2212</v>
      </c>
      <c r="J337" s="1" t="s">
        <v>2213</v>
      </c>
      <c r="K337" s="1" t="s">
        <v>2214</v>
      </c>
      <c r="L337" s="11" t="s">
        <v>2215</v>
      </c>
      <c r="M337" s="1" t="s">
        <v>459</v>
      </c>
      <c r="N337" s="1" t="s">
        <v>42</v>
      </c>
      <c r="O337" s="1">
        <v>50.0</v>
      </c>
      <c r="P337" s="1">
        <v>50.0</v>
      </c>
      <c r="Q337" s="1">
        <v>0.0</v>
      </c>
      <c r="R337" s="1" t="s">
        <v>1361</v>
      </c>
      <c r="S337" s="1" t="s">
        <v>2216</v>
      </c>
      <c r="T337" s="1" t="s">
        <v>2212</v>
      </c>
      <c r="U337" s="1" t="s">
        <v>2217</v>
      </c>
      <c r="V337" s="1" t="s">
        <v>46</v>
      </c>
      <c r="W337" s="1" t="s">
        <v>47</v>
      </c>
      <c r="X337" s="1" t="s">
        <v>100</v>
      </c>
      <c r="Y337" s="1" t="s">
        <v>122</v>
      </c>
      <c r="Z337" s="1" t="s">
        <v>50</v>
      </c>
      <c r="AA337" s="12">
        <v>50.0</v>
      </c>
      <c r="AB337" s="12">
        <f t="shared" si="2"/>
        <v>0.05</v>
      </c>
      <c r="AC337" s="13" t="s">
        <v>51</v>
      </c>
      <c r="AD337" s="13" t="s">
        <v>2211</v>
      </c>
      <c r="AE337" s="97" t="str">
        <v>EQ-0332</v>
      </c>
      <c r="AF337" s="98" t="str">
        <v>operating-room surgical light</v>
      </c>
      <c r="AG337" s="98" t="str">
        <v>CONDITIONAL_MATCH</v>
      </c>
      <c r="AH337" s="98" t="str">
        <v>Match model or supported analogue, operating state, room allocation and all conditions in F. Use D/E only.</v>
      </c>
    </row>
    <row r="338">
      <c r="A338" s="1" t="s">
        <v>1355</v>
      </c>
      <c r="B338" s="1" t="s">
        <v>2218</v>
      </c>
      <c r="C338" s="13" t="s">
        <v>479</v>
      </c>
      <c r="D338" s="14" t="s">
        <v>67</v>
      </c>
      <c r="E338" s="14" t="s">
        <v>67</v>
      </c>
      <c r="F338" s="7" t="inlineStr">
        <is>
          <t>Further research required if this item is used in the project. USER-REQUESTED HYPOTHETICAL EXAMPLE: 20 W (0.02 kW). Illustrative boom controls/drive: assumed 20 W hourly average local dissipation; socket-fed medical devices excluded, motion duty unverified. Assumed for illustration, not sourced or project-approved. Sensible/latent split unverified. TO COMPLETE: Powered-boom motor/control models and movement duty; attached equipment individually scheduled and counted once. Need actual boom motors/controllers and movement duty. Socket-fed attached equipment must be counted individually. Reference link is supporting method/product context only; no numeric room-heat value established. D/E remain unknown; use documented project inputs in Room worksheet I:M once resolved.</t>
        </is>
      </c>
      <c r="G338" s="18" t="s">
        <v>616</v>
      </c>
      <c r="H338" s="19" t="s">
        <v>616</v>
      </c>
      <c r="I338" s="1" t="s">
        <v>617</v>
      </c>
      <c r="J338" s="1" t="s">
        <v>2220</v>
      </c>
      <c r="K338" s="1" t="s">
        <v>2221</v>
      </c>
      <c r="L338" s="11" t="s">
        <v>58</v>
      </c>
      <c r="M338" s="1" t="s">
        <v>621</v>
      </c>
      <c r="N338" s="1" t="s">
        <v>42</v>
      </c>
      <c r="O338" s="1" t="s">
        <v>606</v>
      </c>
      <c r="P338" s="1" t="s">
        <v>486</v>
      </c>
      <c r="Q338" s="1" t="s">
        <v>486</v>
      </c>
      <c r="R338" s="1" t="s">
        <v>1361</v>
      </c>
      <c r="S338" s="1" t="s">
        <v>2222</v>
      </c>
      <c r="T338" s="1" t="s">
        <v>617</v>
      </c>
      <c r="U338" s="1" t="s">
        <v>1698</v>
      </c>
      <c r="V338" s="1" t="s">
        <v>200</v>
      </c>
      <c r="W338" s="1" t="s">
        <v>2223</v>
      </c>
      <c r="X338" s="1" t="s">
        <v>48</v>
      </c>
      <c r="Y338" s="1" t="s">
        <v>49</v>
      </c>
      <c r="Z338" s="1" t="s">
        <v>50</v>
      </c>
      <c r="AA338" s="16">
        <v>20.0</v>
      </c>
      <c r="AB338" s="16">
        <f t="shared" si="2"/>
        <v>0.02</v>
      </c>
      <c r="AC338" s="17" t="s">
        <v>623</v>
      </c>
      <c r="AD338" s="17" t="inlineStr">
        <is>
          <t>Further research required if this item is used in the project. Illustrative boom controls/drive: assumed 20 W hourly average local dissipation; socket-fed medical devices excluded, motion duty unverified. REQUIRED: Powered-boom motor/control models and movement duty; attached equipment individually scheduled and counted once.</t>
        </is>
      </c>
      <c r="AE338" s="97" t="str">
        <v>EQ-0333</v>
      </c>
      <c r="AF338" s="98" t="str">
        <v>operating-room equipment boom - powered</v>
      </c>
      <c r="AG338" s="98" t="str">
        <v>REFERENCE_ONLY</v>
      </c>
      <c r="AH338" s="98" t="str">
        <v>Do not auto-use reference wattage. Resolve the missing heat data or document a project estimate.</v>
      </c>
    </row>
    <row r="339">
      <c r="A339" s="1" t="s">
        <v>1355</v>
      </c>
      <c r="B339" s="1" t="s">
        <v>2225</v>
      </c>
      <c r="C339" s="13" t="s">
        <v>442</v>
      </c>
      <c r="D339" s="14" t="s">
        <v>67</v>
      </c>
      <c r="E339" s="14" t="s">
        <v>67</v>
      </c>
      <c r="F339" s="7" t="inlineStr">
        <is>
          <t>Further research required if this item is used in the project. NUMERIC EXAMPLE: 470 W (0.47 kW); EXISTING REFERENCE — scope/state limits apply. TO COMPLETE: Warming-system mode, patient/blanket heat storage and room energy balance; do not add delivered heat to electrical input. Model 775 manual specifies 470 W high-fan average and 390 W low-fan average, separately from 800 W average electrical input (1550 W peak). This is delivered warming heat, not a proven whole-room cooling gain. Patient/blanket heat storage and other unit losses require a room energy balance; do not add electrical input and delivered heat. D/E remain unknown; use documented project inputs in Room worksheet I:M once resolved.</t>
        </is>
      </c>
      <c r="G339" s="18">
        <v>470.0</v>
      </c>
      <c r="H339" s="19">
        <f t="shared" ref="H339:H345" si="30">G339/1000</f>
        <v>0.47</v>
      </c>
      <c r="I339" s="1" t="s">
        <v>2227</v>
      </c>
      <c r="J339" s="1" t="s">
        <v>2228</v>
      </c>
      <c r="K339" s="1" t="s">
        <v>2229</v>
      </c>
      <c r="L339" s="11" t="s">
        <v>2230</v>
      </c>
      <c r="M339" s="1" t="s">
        <v>2231</v>
      </c>
      <c r="N339" s="1" t="s">
        <v>42</v>
      </c>
      <c r="O339" s="1">
        <v>800.0</v>
      </c>
      <c r="P339" s="1" t="s">
        <v>486</v>
      </c>
      <c r="Q339" s="1" t="s">
        <v>486</v>
      </c>
      <c r="R339" s="1" t="s">
        <v>1361</v>
      </c>
      <c r="S339" s="1" t="s">
        <v>2232</v>
      </c>
      <c r="T339" s="1" t="s">
        <v>2233</v>
      </c>
      <c r="U339" s="1" t="s">
        <v>1339</v>
      </c>
      <c r="V339" s="1" t="s">
        <v>200</v>
      </c>
      <c r="W339" s="1" t="s">
        <v>2234</v>
      </c>
      <c r="X339" s="1" t="s">
        <v>48</v>
      </c>
      <c r="Y339" s="1" t="s">
        <v>49</v>
      </c>
      <c r="Z339" s="1" t="s">
        <v>50</v>
      </c>
      <c r="AA339" s="16">
        <v>470.0</v>
      </c>
      <c r="AB339" s="16">
        <f t="shared" si="2"/>
        <v>0.47</v>
      </c>
      <c r="AC339" s="17" t="s">
        <v>201</v>
      </c>
      <c r="AD339" s="17" t="inlineStr">
        <is>
          <t>Further research required if this item is used in the project. Manufacturer average heat generated, high fan setting Model 775 manual specifies 470 W high-fan average and 390 W low-fan average, separately from 800 W average electrical input (1550 W peak). This is delivered warming heat, not a proven whole-room cooling gain. Patient/blanket heat storage and other unit losses require a room energy balance; do not add electrical input and delivered heat. This retains the original reference, including any unresolved source limitations; it is not newly validated net room heat. REQUIRED: Warming-system mode, patient/blanket heat storage and room energy balance; do not add delivered heat to electrical input.</t>
        </is>
      </c>
      <c r="AE339" s="97" t="str">
        <v>EQ-0334</v>
      </c>
      <c r="AF339" s="98" t="str">
        <v>patient warming system</v>
      </c>
      <c r="AG339" s="98" t="str">
        <v>REFERENCE_ONLY</v>
      </c>
      <c r="AH339" s="98" t="str">
        <v>Do not auto-use reference wattage. Resolve the missing heat data or document a project estimate.</v>
      </c>
    </row>
    <row r="340">
      <c r="A340" s="1" t="s">
        <v>1355</v>
      </c>
      <c r="B340" s="1" t="s">
        <v>2236</v>
      </c>
      <c r="C340" s="13" t="s">
        <v>2187</v>
      </c>
      <c r="D340" s="14" t="s">
        <v>67</v>
      </c>
      <c r="E340" s="14" t="s">
        <v>67</v>
      </c>
      <c r="F340" s="7" t="inlineStr">
        <is>
          <t>Further research required if this item is used in the project. NUMERIC EXAMPLE: 221 W (0.221 kW); EXISTING REFERENCE — scope/state limits apply. TO COMPLETE: Blanket-warmer model, setpoint, loading and door schedule; cabinet room emissions and heat exported in blankets. Existing historical reference 221 W remains in G; it is not a verified sensible/latent split or confirmation of the installed model. D/E remain unknown; use documented project inputs in Room worksheet I:M once resolved.</t>
        </is>
      </c>
      <c r="G340" s="18">
        <v>221.0</v>
      </c>
      <c r="H340" s="19">
        <f t="shared" si="30"/>
        <v>0.221</v>
      </c>
      <c r="I340" s="1" t="s">
        <v>1358</v>
      </c>
      <c r="J340" s="1" t="s">
        <v>1359</v>
      </c>
      <c r="K340" s="1" t="s">
        <v>2238</v>
      </c>
      <c r="L340" s="11" t="s">
        <v>943</v>
      </c>
      <c r="M340" s="1" t="s">
        <v>459</v>
      </c>
      <c r="N340" s="1" t="s">
        <v>42</v>
      </c>
      <c r="O340" s="1" t="s">
        <v>606</v>
      </c>
      <c r="P340" s="1" t="s">
        <v>486</v>
      </c>
      <c r="Q340" s="1" t="s">
        <v>486</v>
      </c>
      <c r="R340" s="1" t="s">
        <v>1361</v>
      </c>
      <c r="S340" s="1" t="s">
        <v>2239</v>
      </c>
      <c r="T340" s="1" t="s">
        <v>1358</v>
      </c>
      <c r="U340" s="1" t="s">
        <v>608</v>
      </c>
      <c r="V340" s="1" t="s">
        <v>200</v>
      </c>
      <c r="W340" s="1" t="s">
        <v>2240</v>
      </c>
      <c r="X340" s="1" t="s">
        <v>903</v>
      </c>
      <c r="Y340" s="1" t="s">
        <v>904</v>
      </c>
      <c r="Z340" s="1" t="s">
        <v>50</v>
      </c>
      <c r="AA340" s="16">
        <v>221.0</v>
      </c>
      <c r="AB340" s="16">
        <f t="shared" si="2"/>
        <v>0.221</v>
      </c>
      <c r="AC340" s="17" t="s">
        <v>201</v>
      </c>
      <c r="AD340" s="17" t="inlineStr">
        <is>
          <t>Further research required if this item is used in the project. 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Blanket-warmer model, setpoint, loading and door schedule; cabinet room emissions and heat exported in blankets.</t>
        </is>
      </c>
      <c r="AE340" s="97" t="str">
        <v>EQ-0335</v>
      </c>
      <c r="AF340" s="98" t="str">
        <v>medical blanket warmer</v>
      </c>
      <c r="AG340" s="98" t="str">
        <v>REFERENCE_ONLY</v>
      </c>
      <c r="AH340" s="98" t="str">
        <v>Do not auto-use reference wattage. Resolve the missing heat data or document a project estimate.</v>
      </c>
    </row>
    <row r="341">
      <c r="A341" s="1" t="s">
        <v>1355</v>
      </c>
      <c r="B341" s="1" t="s">
        <v>2242</v>
      </c>
      <c r="C341" s="13" t="s">
        <v>2187</v>
      </c>
      <c r="D341" s="14" t="s">
        <v>67</v>
      </c>
      <c r="E341" s="14" t="s">
        <v>67</v>
      </c>
      <c r="F341" s="7" t="inlineStr">
        <is>
          <t>Further research required if this item is used in the project. NUMERIC EXAMPLE: 114 W (0.114 kW); EXISTING REFERENCE — scope/state limits apply. TO COMPLETE: Fluid-warmer real input and throughput; fluid inlet/outlet temperatures and patient destination; casing heat to room. Existing historical reference 114 W remains in G; it is not a verified sensible/latent split or confirmation of the installed model. D/E remain unknown; use documented project inputs in Room worksheet I:M once resolved.</t>
        </is>
      </c>
      <c r="G341" s="18">
        <v>114.0</v>
      </c>
      <c r="H341" s="19">
        <f t="shared" si="30"/>
        <v>0.114</v>
      </c>
      <c r="I341" s="1" t="s">
        <v>1358</v>
      </c>
      <c r="J341" s="1" t="s">
        <v>1359</v>
      </c>
      <c r="K341" s="1" t="s">
        <v>2244</v>
      </c>
      <c r="L341" s="11" t="s">
        <v>943</v>
      </c>
      <c r="M341" s="1" t="s">
        <v>459</v>
      </c>
      <c r="N341" s="1" t="s">
        <v>42</v>
      </c>
      <c r="O341" s="1" t="s">
        <v>606</v>
      </c>
      <c r="P341" s="1" t="s">
        <v>486</v>
      </c>
      <c r="Q341" s="1" t="s">
        <v>486</v>
      </c>
      <c r="R341" s="1" t="s">
        <v>1361</v>
      </c>
      <c r="S341" s="1" t="s">
        <v>2245</v>
      </c>
      <c r="T341" s="1" t="s">
        <v>1358</v>
      </c>
      <c r="U341" s="1" t="s">
        <v>608</v>
      </c>
      <c r="V341" s="1" t="s">
        <v>200</v>
      </c>
      <c r="W341" s="1" t="s">
        <v>2246</v>
      </c>
      <c r="X341" s="1" t="s">
        <v>903</v>
      </c>
      <c r="Y341" s="1" t="s">
        <v>904</v>
      </c>
      <c r="Z341" s="1" t="s">
        <v>50</v>
      </c>
      <c r="AA341" s="16">
        <v>114.0</v>
      </c>
      <c r="AB341" s="16">
        <f t="shared" si="2"/>
        <v>0.114</v>
      </c>
      <c r="AC341" s="17" t="s">
        <v>201</v>
      </c>
      <c r="AD341" s="17" t="inlineStr">
        <is>
          <t>Further research required if this item is used in the project. Table 9 average heat gain; historical Hosni et al. measurements Reference measurement reproduced in 2025 handbook, not modern installed-model confirmation. Peak/duty can differ; treadmill excludes person heat. X-ray generator output kW is not average room gain. This retains the original reference, including any unresolved source limitations; it is not newly validated net room heat. REQUIRED: Fluid-warmer real input and throughput; fluid inlet/outlet temperatures and patient destination; casing heat to room.</t>
        </is>
      </c>
      <c r="AE341" s="97" t="str">
        <v>EQ-0336</v>
      </c>
      <c r="AF341" s="98" t="str">
        <v>medical fluid warmer</v>
      </c>
      <c r="AG341" s="98" t="str">
        <v>REFERENCE_ONLY</v>
      </c>
      <c r="AH341" s="98" t="str">
        <v>Do not auto-use reference wattage. Resolve the missing heat data or document a project estimate.</v>
      </c>
    </row>
    <row r="342">
      <c r="A342" s="1" t="s">
        <v>1355</v>
      </c>
      <c r="B342" s="1" t="s">
        <v>2248</v>
      </c>
      <c r="C342" s="13" t="s">
        <v>35</v>
      </c>
      <c r="D342" s="14">
        <v>145.95</v>
      </c>
      <c r="E342" s="14">
        <v>0.0</v>
      </c>
      <c r="F342" s="13" t="s">
        <v>2249</v>
      </c>
      <c r="G342" s="18">
        <v>145.95</v>
      </c>
      <c r="H342" s="19">
        <f t="shared" si="30"/>
        <v>0.14595</v>
      </c>
      <c r="I342" s="1" t="s">
        <v>2250</v>
      </c>
      <c r="J342" s="1" t="s">
        <v>2251</v>
      </c>
      <c r="K342" s="1" t="s">
        <v>2252</v>
      </c>
      <c r="L342" s="11" t="s">
        <v>2253</v>
      </c>
      <c r="M342" s="1" t="s">
        <v>459</v>
      </c>
      <c r="N342" s="1" t="s">
        <v>42</v>
      </c>
      <c r="O342" s="1">
        <v>200.0</v>
      </c>
      <c r="P342" s="1" t="s">
        <v>486</v>
      </c>
      <c r="Q342" s="1" t="s">
        <v>486</v>
      </c>
      <c r="R342" s="1" t="s">
        <v>1361</v>
      </c>
      <c r="S342" s="1" t="s">
        <v>2254</v>
      </c>
      <c r="T342" s="1" t="s">
        <v>2250</v>
      </c>
      <c r="U342" s="1" t="s">
        <v>2255</v>
      </c>
      <c r="V342" s="1" t="s">
        <v>46</v>
      </c>
      <c r="W342" s="1" t="s">
        <v>47</v>
      </c>
      <c r="X342" s="1" t="s">
        <v>48</v>
      </c>
      <c r="Y342" s="1" t="s">
        <v>49</v>
      </c>
      <c r="Z342" s="1" t="s">
        <v>50</v>
      </c>
      <c r="AA342" s="12">
        <v>145.95</v>
      </c>
      <c r="AB342" s="12">
        <f t="shared" si="2"/>
        <v>0.14595</v>
      </c>
      <c r="AC342" s="13" t="s">
        <v>51</v>
      </c>
      <c r="AD342" s="13" t="s">
        <v>2249</v>
      </c>
      <c r="AE342" s="97" t="str">
        <v>EQ-0337</v>
      </c>
      <c r="AF342" s="98" t="str">
        <v>laboratory blood analyser</v>
      </c>
      <c r="AG342" s="98" t="str">
        <v>CONDITIONAL_MATCH</v>
      </c>
      <c r="AH342" s="98" t="str">
        <v>Match model or supported analogue, operating state, room allocation and all conditions in F. Use D/E only.</v>
      </c>
    </row>
    <row r="343">
      <c r="A343" s="1" t="s">
        <v>1355</v>
      </c>
      <c r="B343" s="1" t="s">
        <v>2256</v>
      </c>
      <c r="C343" s="13" t="s">
        <v>1368</v>
      </c>
      <c r="D343" s="14" t="s">
        <v>67</v>
      </c>
      <c r="E343" s="14" t="s">
        <v>67</v>
      </c>
      <c r="F343" s="7" t="inlineStr">
        <is>
          <t>Further research required if this item is used in the project. NUMERIC EXAMPLE: 600 W (0.6 kW); EXISTING REFERENCE — scope/state limits apply. TO COMPLETE: Installed SF-3000 system boundary, included peripherals and operating state; confirm archived 600 W heat applies to this configuration. Manufacturer-authored operator manual, revised March 2001, system specifications p1-24: approximately 2047 BTU/h = 600 W (rounded). Archived manufacturer document hosted by iFixit; not current Mindray BC-20s data. Confirm whether peripherals/PC and pneumatic unit are included in the installed system boundary. D/E remain unknown; use documented project inputs in Room worksheet I:M once resolved.</t>
        </is>
      </c>
      <c r="G343" s="18">
        <v>600.0</v>
      </c>
      <c r="H343" s="19">
        <f t="shared" si="30"/>
        <v>0.6</v>
      </c>
      <c r="I343" s="1" t="s">
        <v>2258</v>
      </c>
      <c r="J343" s="1" t="s">
        <v>2259</v>
      </c>
      <c r="K343" s="1" t="s">
        <v>2260</v>
      </c>
      <c r="L343" s="11" t="s">
        <v>2261</v>
      </c>
      <c r="M343" s="1" t="s">
        <v>1302</v>
      </c>
      <c r="N343" s="1" t="s">
        <v>42</v>
      </c>
      <c r="O343" s="1" t="s">
        <v>2262</v>
      </c>
      <c r="P343" s="1">
        <v>600.0</v>
      </c>
      <c r="Q343" s="1">
        <v>0.0</v>
      </c>
      <c r="R343" s="1" t="s">
        <v>1361</v>
      </c>
      <c r="S343" s="1" t="s">
        <v>2263</v>
      </c>
      <c r="T343" s="1" t="s">
        <v>2258</v>
      </c>
      <c r="U343" s="1" t="s">
        <v>1551</v>
      </c>
      <c r="V343" s="1" t="s">
        <v>200</v>
      </c>
      <c r="W343" s="1" t="s">
        <v>2264</v>
      </c>
      <c r="X343" s="1" t="s">
        <v>48</v>
      </c>
      <c r="Y343" s="1" t="s">
        <v>49</v>
      </c>
      <c r="Z343" s="1" t="s">
        <v>50</v>
      </c>
      <c r="AA343" s="16">
        <v>600.0</v>
      </c>
      <c r="AB343" s="16">
        <f t="shared" si="2"/>
        <v>0.6</v>
      </c>
      <c r="AC343" s="17" t="s">
        <v>201</v>
      </c>
      <c r="AD343" s="17" t="inlineStr">
        <is>
          <t>Further research required if this item is used in the project. Manufacturer heat-compensation requirement Manufacturer-authored operator manual, revised March 2001, system specifications p1-24: approximately 2047 BTU/h = 600 W (rounded). Archived manufacturer document hosted by iFixit; not current Mindray BC-20s data. Confirm whether peripherals/PC and pneumatic unit are included in the installed system boundary. This retains the original reference, including any unresolved source limitations; it is not newly validated net room heat. REQUIRED: Installed SF-3000 system boundary, included peripherals and operating state; confirm archived 600 W heat applies to this configuration.</t>
        </is>
      </c>
      <c r="AE343" s="97" t="str">
        <v>EQ-0338</v>
      </c>
      <c r="AF343" s="98" t="str">
        <v>haematology analyser</v>
      </c>
      <c r="AG343" s="98" t="str">
        <v>REFERENCE_ONLY</v>
      </c>
      <c r="AH343" s="98" t="str">
        <v>Do not auto-use reference wattage. Resolve the missing heat data or document a project estimate.</v>
      </c>
    </row>
    <row r="344">
      <c r="A344" s="1" t="s">
        <v>1355</v>
      </c>
      <c r="B344" s="1" t="s">
        <v>2266</v>
      </c>
      <c r="C344" s="13" t="s">
        <v>194</v>
      </c>
      <c r="D344" s="14" t="s">
        <v>67</v>
      </c>
      <c r="E344" s="14" t="s">
        <v>67</v>
      </c>
      <c r="F344" s="7" t="inlineStr">
        <is>
          <t>Further research required if this item is used in the project. NUMERIC EXAMPLE: 134.81 W (0.13481 kW); EXISTING REFERENCE — scope/state limits apply. TO COMPLETE: Installed blood-fridge model and state; manufacturer gross-versus-net heat boundary, ambient/loading and moisture. 460 BTU/h × 0.293071. 150 L model; source heat rejection may exceed net space gain from same-room heat extraction. D/E remain unknown; use documented project inputs in Room worksheet I:M once resolved.</t>
        </is>
      </c>
      <c r="G344" s="18">
        <v>134.81</v>
      </c>
      <c r="H344" s="19">
        <f t="shared" si="30"/>
        <v>0.13481</v>
      </c>
      <c r="I344" s="1" t="s">
        <v>2268</v>
      </c>
      <c r="J344" s="1" t="s">
        <v>2269</v>
      </c>
      <c r="K344" s="1" t="s">
        <v>2270</v>
      </c>
      <c r="L344" s="11" t="s">
        <v>2271</v>
      </c>
      <c r="M344" s="1" t="s">
        <v>459</v>
      </c>
      <c r="N344" s="1" t="s">
        <v>42</v>
      </c>
      <c r="O344" s="1" t="s">
        <v>606</v>
      </c>
      <c r="P344" s="1" t="s">
        <v>486</v>
      </c>
      <c r="Q344" s="1" t="s">
        <v>486</v>
      </c>
      <c r="R344" s="1" t="s">
        <v>1361</v>
      </c>
      <c r="S344" s="1" t="s">
        <v>2272</v>
      </c>
      <c r="T344" s="1" t="s">
        <v>2268</v>
      </c>
      <c r="U344" s="1" t="s">
        <v>608</v>
      </c>
      <c r="V344" s="1" t="s">
        <v>200</v>
      </c>
      <c r="W344" s="1" t="s">
        <v>2273</v>
      </c>
      <c r="X344" s="1" t="s">
        <v>176</v>
      </c>
      <c r="Y344" s="1" t="s">
        <v>189</v>
      </c>
      <c r="Z344" s="1" t="s">
        <v>50</v>
      </c>
      <c r="AA344" s="16">
        <v>134.81</v>
      </c>
      <c r="AB344" s="16">
        <f t="shared" si="2"/>
        <v>0.13481</v>
      </c>
      <c r="AC344" s="17" t="s">
        <v>201</v>
      </c>
      <c r="AD344" s="17" t="inlineStr">
        <is>
          <t>Further research required if this item is used in the project. Normal conditions; 24.8°C ambient, 4°C cabinet 460 BTU/h × 0.293071. 150 L model; source heat rejection may exceed net space gain from same-room heat extraction. This retains the original reference, including any unresolved source limitations; it is not newly validated net room heat. REQUIRED: Installed blood-fridge model and state; manufacturer gross-versus-net heat boundary, ambient/loading and moisture.</t>
        </is>
      </c>
      <c r="AE344" s="97" t="str">
        <v>EQ-0339</v>
      </c>
      <c r="AF344" s="98" t="str">
        <v>blood bank refrigerator</v>
      </c>
      <c r="AG344" s="98" t="str">
        <v>REFERENCE_ONLY</v>
      </c>
      <c r="AH344" s="98" t="str">
        <v>Do not auto-use reference wattage. Resolve the missing heat data or document a project estimate.</v>
      </c>
    </row>
    <row r="345">
      <c r="A345" s="1" t="s">
        <v>1355</v>
      </c>
      <c r="B345" s="1" t="s">
        <v>2275</v>
      </c>
      <c r="C345" s="13" t="s">
        <v>194</v>
      </c>
      <c r="D345" s="14" t="s">
        <v>67</v>
      </c>
      <c r="E345" s="14" t="s">
        <v>67</v>
      </c>
      <c r="F345" s="7" t="inlineStr">
        <is>
          <t>Further research required if this item is used in the project. NUMERIC EXAMPLE: 134.81 W (0.13481 kW); EXISTING REFERENCE — scope/state limits apply. TO COMPLETE: Installed specimen-fridge model and state; gross-versus-net heat boundary, ambient/loading and moisture. Reference normal-operation test at 24.8°C ambient /4°C setpoint. 150 L medical/scientific storage example. Published rejection is not automatically net room load; account for heat removed from same room. D/E remain unknown; use documented project inputs in Room worksheet I:M once resolved.</t>
        </is>
      </c>
      <c r="G345" s="18">
        <v>134.81</v>
      </c>
      <c r="H345" s="19">
        <f t="shared" si="30"/>
        <v>0.13481</v>
      </c>
      <c r="I345" s="1" t="s">
        <v>2277</v>
      </c>
      <c r="J345" s="1" t="s">
        <v>2278</v>
      </c>
      <c r="K345" s="1" t="s">
        <v>2279</v>
      </c>
      <c r="L345" s="11" t="s">
        <v>2280</v>
      </c>
      <c r="M345" s="1" t="s">
        <v>459</v>
      </c>
      <c r="N345" s="1" t="s">
        <v>42</v>
      </c>
      <c r="O345" s="1" t="s">
        <v>606</v>
      </c>
      <c r="P345" s="1" t="s">
        <v>486</v>
      </c>
      <c r="Q345" s="1" t="s">
        <v>486</v>
      </c>
      <c r="R345" s="1" t="s">
        <v>1361</v>
      </c>
      <c r="S345" s="1" t="s">
        <v>2281</v>
      </c>
      <c r="T345" s="1" t="s">
        <v>2277</v>
      </c>
      <c r="U345" s="1" t="s">
        <v>1451</v>
      </c>
      <c r="V345" s="1" t="s">
        <v>200</v>
      </c>
      <c r="W345" s="1" t="s">
        <v>2282</v>
      </c>
      <c r="X345" s="1" t="s">
        <v>176</v>
      </c>
      <c r="Y345" s="1" t="s">
        <v>189</v>
      </c>
      <c r="Z345" s="1" t="s">
        <v>50</v>
      </c>
      <c r="AA345" s="16">
        <v>134.81</v>
      </c>
      <c r="AB345" s="16">
        <f t="shared" si="2"/>
        <v>0.13481</v>
      </c>
      <c r="AC345" s="17" t="s">
        <v>201</v>
      </c>
      <c r="AD345" s="17" t="inlineStr">
        <is>
          <t>Further research required if this item is used in the project. Published heat rejection/emission 460 BTU/h /3.41214 Reference normal-operation test at 24.8°C ambient /4°C setpoint. 150 L medical/scientific storage example. Published rejection is not automatically net room load; account for heat removed from same room. This retains the original reference, including any unresolved source limitations; it is not newly validated net room heat. REQUIRED: Installed specimen-fridge model and state; gross-versus-net heat boundary, ambient/loading and moisture.</t>
        </is>
      </c>
      <c r="AE345" s="97" t="str">
        <v>EQ-0340</v>
      </c>
      <c r="AF345" s="98" t="str">
        <v>specimen refrigerator</v>
      </c>
      <c r="AG345" s="98" t="str">
        <v>REFERENCE_ONLY</v>
      </c>
      <c r="AH345" s="98" t="str">
        <v>Do not auto-use reference wattage. Resolve the missing heat data or document a project estimate.</v>
      </c>
    </row>
    <row r="346">
      <c r="A346" s="1" t="s">
        <v>1355</v>
      </c>
      <c r="B346" s="1" t="s">
        <v>2284</v>
      </c>
      <c r="C346" s="7" t="s">
        <v>896</v>
      </c>
      <c r="D346" s="14" t="s">
        <v>67</v>
      </c>
      <c r="E346" s="14" t="s">
        <v>67</v>
      </c>
      <c r="F346" s="7" t="inlineStr">
        <is>
          <t>Further research required if this item is used in the project. NUMERIC EXAMPLE: 250 W (0.25 kW); EXISTING REFERENCE — scope/state limits apply. TO COMPLETE: SLEE MTP configuration and cycle; manufacturer sensible/latent split and exhaust allocation for the 250 W maximum emission. SLEE MTP11000200:250J/s=250W. Supply350VA is not watts. Manufacturer specifies approx200m³/h exhaust; room allocation and sensible/latent split unresolved. Previous Leica PELORIS3 electrical rating2150W is for a different model and is not a room heat value. D/E remain unknown; use documented project inputs in Room worksheet I:M once resolved.</t>
        </is>
      </c>
      <c r="G346" s="18">
        <v>250.0</v>
      </c>
      <c r="H346" s="19">
        <v>0.25</v>
      </c>
      <c r="I346" s="1" t="s">
        <v>2286</v>
      </c>
      <c r="J346" s="1" t="s">
        <v>2287</v>
      </c>
      <c r="K346" s="1" t="s">
        <v>2288</v>
      </c>
      <c r="L346" s="11" t="s">
        <v>2289</v>
      </c>
      <c r="M346" s="1" t="s">
        <v>2290</v>
      </c>
      <c r="N346" s="1" t="s">
        <v>42</v>
      </c>
      <c r="O346" s="1"/>
      <c r="P346" s="1" t="s">
        <v>2291</v>
      </c>
      <c r="Q346" s="1" t="s">
        <v>2291</v>
      </c>
      <c r="R346" s="1" t="s">
        <v>1361</v>
      </c>
      <c r="S346" s="1" t="s">
        <v>2292</v>
      </c>
      <c r="T346" s="1" t="s">
        <v>2293</v>
      </c>
      <c r="U346" s="1" t="s">
        <v>2294</v>
      </c>
      <c r="V346" s="1" t="s">
        <v>200</v>
      </c>
      <c r="W346" s="1" t="s">
        <v>2295</v>
      </c>
      <c r="X346" s="1" t="s">
        <v>48</v>
      </c>
      <c r="Y346" s="1" t="s">
        <v>49</v>
      </c>
      <c r="Z346" s="1" t="s">
        <v>50</v>
      </c>
      <c r="AA346" s="16">
        <v>250.0</v>
      </c>
      <c r="AB346" s="16">
        <f t="shared" si="2"/>
        <v>0.25</v>
      </c>
      <c r="AC346" s="17" t="s">
        <v>201</v>
      </c>
      <c r="AD346" s="17" t="inlineStr">
        <is>
          <t>Further research required if this item is used in the project. Maximum heat emission — reference only SLEE MTP11000200:250J/s=250W. Supply350VA is not watts. Manufacturer specifies approx200m³/h exhaust; room allocation and sensible/latent split unresolved. Previous Leica PELORIS3 electrical rating2150W is for a different model and is not a room heat value. This retains the original reference, including any unresolved source limitations; it is not newly validated net room heat. REQUIRED: SLEE MTP configuration and cycle; manufacturer sensible/latent split and exhaust allocation for the 250 W maximum emission.</t>
        </is>
      </c>
      <c r="AE346" s="97" t="str">
        <v>EQ-0341</v>
      </c>
      <c r="AF346" s="98" t="str">
        <v>tissue processor</v>
      </c>
      <c r="AG346" s="98" t="str">
        <v>REFERENCE_ONLY</v>
      </c>
      <c r="AH346" s="98" t="str">
        <v>Do not auto-use reference wattage. Resolve the missing heat data or document a project estimate.</v>
      </c>
    </row>
    <row r="347">
      <c r="A347" s="1" t="s">
        <v>1355</v>
      </c>
      <c r="B347" s="1" t="s">
        <v>2297</v>
      </c>
      <c r="C347" s="13" t="s">
        <v>35</v>
      </c>
      <c r="D347" s="14">
        <v>650.0</v>
      </c>
      <c r="E347" s="14">
        <v>0.0</v>
      </c>
      <c r="F347" s="13" t="s">
        <v>2298</v>
      </c>
      <c r="G347" s="18">
        <v>650.0</v>
      </c>
      <c r="H347" s="19">
        <f t="shared" ref="H347:H348" si="31">G347/1000</f>
        <v>0.65</v>
      </c>
      <c r="I347" s="1" t="s">
        <v>2299</v>
      </c>
      <c r="J347" s="1" t="s">
        <v>2300</v>
      </c>
      <c r="K347" s="1" t="s">
        <v>2301</v>
      </c>
      <c r="L347" s="11" t="s">
        <v>2302</v>
      </c>
      <c r="M347" s="1" t="s">
        <v>1302</v>
      </c>
      <c r="N347" s="1" t="s">
        <v>42</v>
      </c>
      <c r="O347" s="1" t="s">
        <v>2262</v>
      </c>
      <c r="P347" s="1">
        <v>650.0</v>
      </c>
      <c r="Q347" s="1">
        <v>0.0</v>
      </c>
      <c r="R347" s="1" t="s">
        <v>1361</v>
      </c>
      <c r="S347" s="1" t="s">
        <v>2303</v>
      </c>
      <c r="T347" s="1" t="s">
        <v>2299</v>
      </c>
      <c r="U347" s="1" t="s">
        <v>1551</v>
      </c>
      <c r="V347" s="1" t="s">
        <v>46</v>
      </c>
      <c r="W347" s="1" t="s">
        <v>47</v>
      </c>
      <c r="X347" s="1" t="s">
        <v>1202</v>
      </c>
      <c r="Y347" s="1" t="s">
        <v>1203</v>
      </c>
      <c r="Z347" s="1" t="s">
        <v>50</v>
      </c>
      <c r="AA347" s="12">
        <v>650.0</v>
      </c>
      <c r="AB347" s="12">
        <f t="shared" si="2"/>
        <v>0.65</v>
      </c>
      <c r="AC347" s="13" t="s">
        <v>51</v>
      </c>
      <c r="AD347" s="13" t="s">
        <v>2298</v>
      </c>
      <c r="AE347" s="97" t="str">
        <v>EQ-0342</v>
      </c>
      <c r="AF347" s="98" t="str">
        <v>histology embedding station</v>
      </c>
      <c r="AG347" s="98" t="str">
        <v>CONDITIONAL_MATCH</v>
      </c>
      <c r="AH347" s="98" t="str">
        <v>Match model or supported analogue, operating state, room allocation and all conditions in F. Use D/E only.</v>
      </c>
    </row>
    <row r="348">
      <c r="A348" s="1" t="s">
        <v>1355</v>
      </c>
      <c r="B348" s="1" t="s">
        <v>2304</v>
      </c>
      <c r="C348" s="13" t="s">
        <v>194</v>
      </c>
      <c r="D348" s="14" t="s">
        <v>67</v>
      </c>
      <c r="E348" s="14" t="s">
        <v>67</v>
      </c>
      <c r="F348" s="7" t="inlineStr">
        <is>
          <t>Further research required if this item is used in the project. NUMERIC EXAMPLE: 498 W (0.498 kW); EXISTING REFERENCE — scope/state limits apply. TO COMPLETE: Actual ice-machine model and suitability; condenser location, duty and water/ice energy balance; sensible/latent room emissions. Reference changed from Brema G1000 to a smaller Follett E7CI100A air-cooled ice/water dispenser, 230 V/50 Hz. Clinical suitability is not established by this heat reference. Use only with condenser releasing indoors; duty and net room balance need review. Do not add electrical input to condenser heat. D/E remain unknown; use documented project inputs in Room worksheet I:M once resolved.</t>
        </is>
      </c>
      <c r="G348" s="18">
        <v>498.0</v>
      </c>
      <c r="H348" s="19">
        <f t="shared" si="31"/>
        <v>0.498</v>
      </c>
      <c r="I348" s="1" t="s">
        <v>2306</v>
      </c>
      <c r="J348" s="1" t="s">
        <v>2307</v>
      </c>
      <c r="K348" s="1" t="s">
        <v>2308</v>
      </c>
      <c r="L348" s="11" t="s">
        <v>2309</v>
      </c>
      <c r="M348" s="1" t="s">
        <v>1336</v>
      </c>
      <c r="N348" s="1" t="s">
        <v>42</v>
      </c>
      <c r="O348" s="1" t="s">
        <v>1401</v>
      </c>
      <c r="P348" s="1" t="s">
        <v>486</v>
      </c>
      <c r="Q348" s="1" t="s">
        <v>486</v>
      </c>
      <c r="R348" s="1" t="s">
        <v>1361</v>
      </c>
      <c r="S348" s="1" t="s">
        <v>2310</v>
      </c>
      <c r="T348" s="1" t="s">
        <v>2311</v>
      </c>
      <c r="U348" s="1" t="s">
        <v>1339</v>
      </c>
      <c r="V348" s="1" t="s">
        <v>200</v>
      </c>
      <c r="W348" s="1" t="s">
        <v>2312</v>
      </c>
      <c r="X348" s="1" t="s">
        <v>176</v>
      </c>
      <c r="Y348" s="1" t="s">
        <v>189</v>
      </c>
      <c r="Z348" s="1" t="s">
        <v>50</v>
      </c>
      <c r="AA348" s="16">
        <v>498.0</v>
      </c>
      <c r="AB348" s="16">
        <f t="shared" si="2"/>
        <v>0.498</v>
      </c>
      <c r="AC348" s="17" t="s">
        <v>201</v>
      </c>
      <c r="AD348" s="17" t="inlineStr">
        <is>
          <t>Further research required if this item is used in the project. Manufacturer heat-rejection reference: 498 W (1700 Btu/h) Reference changed from Brema G1000 to a smaller Follett E7CI100A air-cooled ice/water dispenser, 230 V/50 Hz. Clinical suitability is not established by this heat reference. Use only with condenser releasing indoors; duty and net room balance need review. Do not add electrical input to condenser heat. This retains the original reference, including any unresolved source limitations; it is not newly validated net room heat. REQUIRED: Actual ice-machine model and suitability; condenser location, duty and water/ice energy balance; sensible/latent room emissions.</t>
        </is>
      </c>
      <c r="AE348" s="97" t="str">
        <v>EQ-0343</v>
      </c>
      <c r="AF348" s="98" t="str">
        <v>medical-grade ice machine</v>
      </c>
      <c r="AG348" s="98" t="str">
        <v>REFERENCE_ONLY</v>
      </c>
      <c r="AH348" s="98" t="str">
        <v>Do not auto-use reference wattage. Resolve the missing heat data or document a project estimate.</v>
      </c>
    </row>
    <row r="349">
      <c r="A349" s="1" t="s">
        <v>1355</v>
      </c>
      <c r="B349" s="1" t="s">
        <v>2314</v>
      </c>
      <c r="C349" s="13" t="s">
        <v>479</v>
      </c>
      <c r="D349" s="14" t="s">
        <v>67</v>
      </c>
      <c r="E349" s="14" t="s">
        <v>67</v>
      </c>
      <c r="F349" s="7" t="inlineStr">
        <is>
          <t>Further research required if this item is used in the project. NUMERIC EXAMPLE: 5 W (0.005 kW); ELECTRICAL INPUT — not established room heat. TO COMPLETE: Complete curing light and driver real input, exposure duty and charging losses; optical heat destination. 5 W LED specification only; complete system input/driver loss and brief exposure duty not established. D/E remain unknown; use documented project inputs in Room worksheet I:M once resolved.</t>
        </is>
      </c>
      <c r="G349" s="18" t="s">
        <v>616</v>
      </c>
      <c r="H349" s="19" t="s">
        <v>616</v>
      </c>
      <c r="I349" s="1" t="s">
        <v>1042</v>
      </c>
      <c r="J349" s="1" t="s">
        <v>2316</v>
      </c>
      <c r="K349" s="1" t="s">
        <v>2317</v>
      </c>
      <c r="L349" s="11" t="s">
        <v>2318</v>
      </c>
      <c r="M349" s="1" t="s">
        <v>485</v>
      </c>
      <c r="N349" s="1" t="s">
        <v>42</v>
      </c>
      <c r="O349" s="1">
        <v>5.0</v>
      </c>
      <c r="P349" s="1" t="s">
        <v>486</v>
      </c>
      <c r="Q349" s="1" t="s">
        <v>486</v>
      </c>
      <c r="R349" s="1" t="s">
        <v>1361</v>
      </c>
      <c r="S349" s="1" t="s">
        <v>2319</v>
      </c>
      <c r="T349" s="1" t="s">
        <v>1042</v>
      </c>
      <c r="U349" s="1" t="s">
        <v>1717</v>
      </c>
      <c r="V349" s="1" t="s">
        <v>200</v>
      </c>
      <c r="W349" s="1" t="s">
        <v>2320</v>
      </c>
      <c r="X349" s="1" t="s">
        <v>100</v>
      </c>
      <c r="Y349" s="1" t="s">
        <v>122</v>
      </c>
      <c r="Z349" s="1" t="s">
        <v>50</v>
      </c>
      <c r="AA349" s="16">
        <v>5.0</v>
      </c>
      <c r="AB349" s="16">
        <f t="shared" si="2"/>
        <v>0.005</v>
      </c>
      <c r="AC349" s="17" t="s">
        <v>878</v>
      </c>
      <c r="AD349" s="17" t="inlineStr">
        <is>
          <t>Further research required if this item is used in the project. Existing electrical reference for Dental curing light: 5 W. 5 W LED specification only; complete system input/driver loss and brief exposure duty not established. This is not a measured sensible/latent room load. Only a closed energy balance can justify equating it to eventual total heat; external steam, refrigerant, fluid, work, storage and exhaust can change that result. REQUIRED: Complete curing light and driver real input, exposure duty and charging losses; optical heat destination.</t>
        </is>
      </c>
      <c r="AE349" s="97" t="str">
        <v>EQ-0344</v>
      </c>
      <c r="AF349" s="98" t="str">
        <v>dental curing light</v>
      </c>
      <c r="AG349" s="98" t="str">
        <v>REFERENCE_ONLY</v>
      </c>
      <c r="AH349" s="98" t="str">
        <v>Do not auto-use reference wattage. Resolve the missing heat data or document a project estimate.</v>
      </c>
    </row>
    <row r="350">
      <c r="A350" s="1" t="s">
        <v>1355</v>
      </c>
      <c r="B350" s="1" t="s">
        <v>2322</v>
      </c>
      <c r="C350" s="13" t="s">
        <v>479</v>
      </c>
      <c r="D350" s="14" t="s">
        <v>67</v>
      </c>
      <c r="E350" s="14" t="s">
        <v>67</v>
      </c>
      <c r="F350" s="7" t="inlineStr">
        <is>
          <t>Further research required if this item is used in the project. NUMERIC EXAMPLE: 240 W (0.24 kW); ELECTRICAL INPUT — not established room heat. TO COMPLETE: Exposure energy and exposures/hour; battery/charger losses and charging schedule; heat location. Maximum battery-powered exposure input; exposures 0.05–1.35 seconds. Not sustained room heat or charging loss. D/E remain unknown; use documented project inputs in Room worksheet I:M once resolved.</t>
        </is>
      </c>
      <c r="G350" s="18" t="s">
        <v>616</v>
      </c>
      <c r="H350" s="19" t="s">
        <v>616</v>
      </c>
      <c r="I350" s="1" t="s">
        <v>1042</v>
      </c>
      <c r="J350" s="1" t="s">
        <v>2324</v>
      </c>
      <c r="K350" s="1" t="s">
        <v>2325</v>
      </c>
      <c r="L350" s="11" t="s">
        <v>2326</v>
      </c>
      <c r="M350" s="1" t="s">
        <v>485</v>
      </c>
      <c r="N350" s="1" t="s">
        <v>42</v>
      </c>
      <c r="O350" s="1">
        <v>240.0</v>
      </c>
      <c r="P350" s="1" t="s">
        <v>486</v>
      </c>
      <c r="Q350" s="1" t="s">
        <v>486</v>
      </c>
      <c r="R350" s="1" t="s">
        <v>1361</v>
      </c>
      <c r="S350" s="1" t="s">
        <v>2327</v>
      </c>
      <c r="T350" s="1" t="s">
        <v>1042</v>
      </c>
      <c r="U350" s="1" t="s">
        <v>1717</v>
      </c>
      <c r="V350" s="1" t="s">
        <v>200</v>
      </c>
      <c r="W350" s="1" t="s">
        <v>2328</v>
      </c>
      <c r="X350" s="1" t="s">
        <v>48</v>
      </c>
      <c r="Y350" s="1" t="s">
        <v>49</v>
      </c>
      <c r="Z350" s="1" t="s">
        <v>50</v>
      </c>
      <c r="AA350" s="16">
        <v>240.0</v>
      </c>
      <c r="AB350" s="16">
        <f t="shared" si="2"/>
        <v>0.24</v>
      </c>
      <c r="AC350" s="17" t="s">
        <v>878</v>
      </c>
      <c r="AD350" s="17" t="inlineStr">
        <is>
          <t>Further research required if this item is used in the project. Existing electrical reference for Dental X-ray unit: 240 W. Maximum battery-powered exposure input; exposures 0.05–1.35 seconds. Not sustained room heat or charging loss. This is not a measured sensible/latent room load. Only a closed energy balance can justify equating it to eventual total heat; external steam, refrigerant, fluid, work, storage and exhaust can change that result. REQUIRED: Exposure energy and exposures/hour; battery/charger losses and charging schedule; heat location.</t>
        </is>
      </c>
      <c r="AE350" s="97" t="str">
        <v>EQ-0345</v>
      </c>
      <c r="AF350" s="98" t="str">
        <v>dental x-ray unit</v>
      </c>
      <c r="AG350" s="98" t="str">
        <v>REFERENCE_ONLY</v>
      </c>
      <c r="AH350" s="98" t="str">
        <v>Do not auto-use reference wattage. Resolve the missing heat data or document a project estimate.</v>
      </c>
    </row>
    <row r="351">
      <c r="A351" s="1" t="s">
        <v>1355</v>
      </c>
      <c r="B351" s="1" t="s">
        <v>2330</v>
      </c>
      <c r="C351" s="13" t="s">
        <v>479</v>
      </c>
      <c r="D351" s="14" t="s">
        <v>67</v>
      </c>
      <c r="E351" s="14" t="s">
        <v>67</v>
      </c>
      <c r="F351" s="7" t="inlineStr">
        <is>
          <t>Further research required if this item is used in the project. NUMERIC EXAMPLE: 250 W (0.25 kW); ELECTRICAL INPUT — not established room heat. TO COMPLETE: Milling workload and real input; compressed-air/extraction arrangement; material heat exported; local ancillary losses. Compressed air and extraction separate; machine electrical input alone does not establish local room heat. D/E remain unknown; use documented project inputs in Room worksheet I:M once resolved.</t>
        </is>
      </c>
      <c r="G351" s="18" t="s">
        <v>616</v>
      </c>
      <c r="H351" s="19" t="s">
        <v>616</v>
      </c>
      <c r="I351" s="1" t="s">
        <v>2332</v>
      </c>
      <c r="J351" s="1" t="s">
        <v>2333</v>
      </c>
      <c r="K351" s="1" t="s">
        <v>2334</v>
      </c>
      <c r="L351" s="11" t="s">
        <v>2335</v>
      </c>
      <c r="M351" s="1" t="s">
        <v>485</v>
      </c>
      <c r="N351" s="1" t="s">
        <v>42</v>
      </c>
      <c r="O351" s="1">
        <v>250.0</v>
      </c>
      <c r="P351" s="1" t="s">
        <v>486</v>
      </c>
      <c r="Q351" s="1" t="s">
        <v>486</v>
      </c>
      <c r="R351" s="1" t="s">
        <v>1361</v>
      </c>
      <c r="S351" s="1" t="s">
        <v>2336</v>
      </c>
      <c r="T351" s="1" t="s">
        <v>2332</v>
      </c>
      <c r="U351" s="1" t="s">
        <v>1823</v>
      </c>
      <c r="V351" s="1" t="s">
        <v>200</v>
      </c>
      <c r="W351" s="1" t="s">
        <v>2337</v>
      </c>
      <c r="X351" s="1" t="s">
        <v>1202</v>
      </c>
      <c r="Y351" s="1" t="s">
        <v>1203</v>
      </c>
      <c r="Z351" s="1" t="s">
        <v>50</v>
      </c>
      <c r="AA351" s="16">
        <v>250.0</v>
      </c>
      <c r="AB351" s="16">
        <f t="shared" si="2"/>
        <v>0.25</v>
      </c>
      <c r="AC351" s="17" t="s">
        <v>878</v>
      </c>
      <c r="AD351" s="17" t="inlineStr">
        <is>
          <t>Further research required if this item is used in the project. Existing electrical reference for Dental milling machine: 250 W. Compressed air and extraction separate; machine electrical input alone does not establish local room heat. This is not a measured sensible/latent room load. Only a closed energy balance can justify equating it to eventual total heat; external steam, refrigerant, fluid, work, storage and exhaust can change that result. REQUIRED: Milling workload and real input; compressed-air/extraction arrangement; material heat exported; local ancillary losses.</t>
        </is>
      </c>
      <c r="AE351" s="97" t="str">
        <v>EQ-0346</v>
      </c>
      <c r="AF351" s="98" t="str">
        <v>dental milling machine</v>
      </c>
      <c r="AG351" s="98" t="str">
        <v>REFERENCE_ONLY</v>
      </c>
      <c r="AH351" s="98" t="str">
        <v>Do not auto-use reference wattage. Resolve the missing heat data or document a project estimate.</v>
      </c>
    </row>
    <row r="352">
      <c r="A352" s="1" t="s">
        <v>2339</v>
      </c>
      <c r="B352" s="1" t="s">
        <v>2340</v>
      </c>
      <c r="C352" s="13" t="s">
        <v>243</v>
      </c>
      <c r="D352" s="14" t="s">
        <v>67</v>
      </c>
      <c r="E352" s="14" t="s">
        <v>67</v>
      </c>
      <c r="F352" s="7" t="inlineStr">
        <is>
          <t>Further research required if this item is used in the project. NUMERIC EXAMPLE: 0.1 W (0.0001 kW); EXISTING REFERENCE — scope/state limits apply. TO COMPLETE: Whole recliner standby and moving heat including downstream controls and options; supply-only standby is incomplete. Datasheet specifies 0.1 W standby consumption, approximated as local heat. Covers power supply only; not an entire recliner during movement, heating, massage or battery charging. Downstream standby loads and optional equipment must be added. D/E remain unknown; use documented project inputs in Room worksheet I:M once resolved.</t>
        </is>
      </c>
      <c r="G352" s="18">
        <v>0.1</v>
      </c>
      <c r="H352" s="19">
        <f t="shared" ref="H352:H357" si="32">G352/1000</f>
        <v>0.0001</v>
      </c>
      <c r="I352" s="1" t="s">
        <v>2342</v>
      </c>
      <c r="J352" s="1" t="s">
        <v>2343</v>
      </c>
      <c r="K352" s="1" t="s">
        <v>2344</v>
      </c>
      <c r="L352" s="11" t="s">
        <v>2345</v>
      </c>
      <c r="M352" s="1" t="s">
        <v>1302</v>
      </c>
      <c r="N352" s="1" t="s">
        <v>42</v>
      </c>
      <c r="O352" s="1">
        <v>0.1</v>
      </c>
      <c r="P352" s="1">
        <v>0.1</v>
      </c>
      <c r="Q352" s="1">
        <v>0.0</v>
      </c>
      <c r="R352" s="1" t="s">
        <v>2339</v>
      </c>
      <c r="S352" s="1" t="s">
        <v>2346</v>
      </c>
      <c r="T352" s="1" t="s">
        <v>2342</v>
      </c>
      <c r="U352" s="1" t="s">
        <v>1551</v>
      </c>
      <c r="V352" s="1" t="s">
        <v>200</v>
      </c>
      <c r="W352" s="1" t="s">
        <v>2347</v>
      </c>
      <c r="X352" s="1" t="s">
        <v>1202</v>
      </c>
      <c r="Y352" s="1" t="s">
        <v>1203</v>
      </c>
      <c r="Z352" s="1" t="s">
        <v>50</v>
      </c>
      <c r="AA352" s="16">
        <v>0.1</v>
      </c>
      <c r="AB352" s="16">
        <f t="shared" si="2"/>
        <v>0.0001</v>
      </c>
      <c r="AC352" s="17" t="s">
        <v>201</v>
      </c>
      <c r="AD352" s="17" t="inlineStr">
        <is>
          <t>Further research required if this item is used in the project. Power-supply standby only — component reference Datasheet specifies 0.1 W standby consumption, approximated as local heat. Covers power supply only; not an entire recliner during movement, heating, massage or battery charging. Downstream standby loads and optional equipment must be added. This retains the original reference, including any unresolved source limitations; it is not newly validated net room heat. REQUIRED: Whole recliner standby and moving heat including downstream controls and options; supply-only standby is incomplete.</t>
        </is>
      </c>
      <c r="AE352" s="97" t="str">
        <v>EQ-0347</v>
      </c>
      <c r="AF352" s="98" t="str">
        <v>electric recliner chair</v>
      </c>
      <c r="AG352" s="98" t="str">
        <v>REFERENCE_ONLY</v>
      </c>
      <c r="AH352" s="98" t="str">
        <v>Do not auto-use reference wattage. Resolve the missing heat data or document a project estimate.</v>
      </c>
    </row>
    <row r="353">
      <c r="A353" s="1" t="s">
        <v>2339</v>
      </c>
      <c r="B353" s="1" t="s">
        <v>2349</v>
      </c>
      <c r="C353" s="13" t="s">
        <v>194</v>
      </c>
      <c r="D353" s="14" t="s">
        <v>67</v>
      </c>
      <c r="E353" s="14" t="s">
        <v>67</v>
      </c>
      <c r="F353" s="7" t="inlineStr">
        <is>
          <t>Further research required if this item is used in the project. NUMERIC EXAMPLE: 134.81 W (0.13481 kW); EXISTING REFERENCE — scope/state limits apply. TO COMPLETE: Installed medication-fridge model and state; net room emissions and loading; check overlap with medical/pharmacy entries. 460 BTU/h × 0.293071. One 150 L refrigerator example for overlapping medical/pharmacy/medication categories; count each physical unit once. D/E remain unknown; use documented project inputs in Room worksheet I:M once resolved.</t>
        </is>
      </c>
      <c r="G353" s="18">
        <v>134.81</v>
      </c>
      <c r="H353" s="19">
        <f t="shared" si="32"/>
        <v>0.13481</v>
      </c>
      <c r="I353" s="1" t="s">
        <v>1414</v>
      </c>
      <c r="J353" s="1" t="s">
        <v>2351</v>
      </c>
      <c r="K353" s="1" t="s">
        <v>1416</v>
      </c>
      <c r="L353" s="11" t="s">
        <v>1417</v>
      </c>
      <c r="M353" s="1" t="s">
        <v>459</v>
      </c>
      <c r="N353" s="1" t="s">
        <v>42</v>
      </c>
      <c r="O353" s="1" t="s">
        <v>606</v>
      </c>
      <c r="P353" s="1" t="s">
        <v>486</v>
      </c>
      <c r="Q353" s="1" t="s">
        <v>486</v>
      </c>
      <c r="R353" s="1" t="s">
        <v>2339</v>
      </c>
      <c r="S353" s="1" t="s">
        <v>1418</v>
      </c>
      <c r="T353" s="1" t="s">
        <v>1414</v>
      </c>
      <c r="U353" s="1" t="s">
        <v>608</v>
      </c>
      <c r="V353" s="1" t="s">
        <v>200</v>
      </c>
      <c r="W353" s="1" t="s">
        <v>2352</v>
      </c>
      <c r="X353" s="1" t="s">
        <v>176</v>
      </c>
      <c r="Y353" s="1" t="s">
        <v>189</v>
      </c>
      <c r="Z353" s="1" t="s">
        <v>50</v>
      </c>
      <c r="AA353" s="16">
        <v>134.81</v>
      </c>
      <c r="AB353" s="16">
        <f t="shared" si="2"/>
        <v>0.13481</v>
      </c>
      <c r="AC353" s="17" t="s">
        <v>201</v>
      </c>
      <c r="AD353" s="17" t="inlineStr">
        <is>
          <t>Further research required if this item is used in the project. Manufacturer heat-emission example 460 BTU/h × 0.293071. One 150 L refrigerator example for overlapping medical/pharmacy/medication categories; count each physical unit once. This retains the original reference, including any unresolved source limitations; it is not newly validated net room heat. REQUIRED: Installed medication-fridge model and state; net room emissions and loading; check overlap with medical/pharmacy entries.</t>
        </is>
      </c>
      <c r="AE353" s="97" t="str">
        <v>EQ-0348</v>
      </c>
      <c r="AF353" s="98" t="str">
        <v>medication refrigerator</v>
      </c>
      <c r="AG353" s="98" t="str">
        <v>REFERENCE_ONLY</v>
      </c>
      <c r="AH353" s="98" t="str">
        <v>Do not auto-use reference wattage. Resolve the missing heat data or document a project estimate.</v>
      </c>
    </row>
    <row r="354">
      <c r="A354" s="1" t="s">
        <v>2339</v>
      </c>
      <c r="B354" s="1" t="s">
        <v>2354</v>
      </c>
      <c r="C354" s="13" t="s">
        <v>35</v>
      </c>
      <c r="D354" s="14">
        <v>10.43</v>
      </c>
      <c r="E354" s="14">
        <v>0.0</v>
      </c>
      <c r="F354" s="13" t="s">
        <v>2355</v>
      </c>
      <c r="G354" s="18">
        <v>10.43</v>
      </c>
      <c r="H354" s="19">
        <f t="shared" si="32"/>
        <v>0.01043</v>
      </c>
      <c r="I354" s="1" t="s">
        <v>2356</v>
      </c>
      <c r="J354" s="1" t="s">
        <v>2357</v>
      </c>
      <c r="K354" s="1" t="s">
        <v>2358</v>
      </c>
      <c r="L354" s="11" t="s">
        <v>2359</v>
      </c>
      <c r="M354" s="1" t="s">
        <v>778</v>
      </c>
      <c r="N354" s="1" t="s">
        <v>42</v>
      </c>
      <c r="O354" s="1">
        <v>130.43</v>
      </c>
      <c r="P354" s="1">
        <v>10.43</v>
      </c>
      <c r="Q354" s="1">
        <v>0.0</v>
      </c>
      <c r="R354" s="1" t="s">
        <v>2339</v>
      </c>
      <c r="S354" s="1" t="s">
        <v>2360</v>
      </c>
      <c r="T354" s="1" t="s">
        <v>2356</v>
      </c>
      <c r="U354" s="1" t="s">
        <v>780</v>
      </c>
      <c r="V354" s="1" t="s">
        <v>46</v>
      </c>
      <c r="W354" s="1" t="s">
        <v>47</v>
      </c>
      <c r="X354" s="1" t="s">
        <v>398</v>
      </c>
      <c r="Y354" s="1" t="s">
        <v>399</v>
      </c>
      <c r="Z354" s="1" t="s">
        <v>50</v>
      </c>
      <c r="AA354" s="12">
        <v>10.43</v>
      </c>
      <c r="AB354" s="12">
        <f t="shared" si="2"/>
        <v>0.01043</v>
      </c>
      <c r="AC354" s="13" t="s">
        <v>51</v>
      </c>
      <c r="AD354" s="13" t="s">
        <v>2355</v>
      </c>
      <c r="AE354" s="97" t="str">
        <v>EQ-0349</v>
      </c>
      <c r="AF354" s="98" t="str">
        <v>powered wheelchair charging station</v>
      </c>
      <c r="AG354" s="98" t="str">
        <v>CONDITIONAL_MATCH</v>
      </c>
      <c r="AH354" s="98" t="str">
        <v>Match model or supported analogue, operating state, room allocation and all conditions in F. Use D/E only.</v>
      </c>
    </row>
    <row r="355">
      <c r="A355" s="1" t="s">
        <v>212</v>
      </c>
      <c r="B355" s="1" t="s">
        <v>2361</v>
      </c>
      <c r="C355" s="13" t="s">
        <v>129</v>
      </c>
      <c r="D355" s="14">
        <v>100.0</v>
      </c>
      <c r="E355" s="14">
        <v>0.0</v>
      </c>
      <c r="F355" s="13" t="s">
        <v>2362</v>
      </c>
      <c r="G355" s="18">
        <v>100.0</v>
      </c>
      <c r="H355" s="19">
        <f t="shared" si="32"/>
        <v>0.1</v>
      </c>
      <c r="I355" s="1" t="s">
        <v>2363</v>
      </c>
      <c r="J355" s="1" t="s">
        <v>2364</v>
      </c>
      <c r="K355" s="1" t="s">
        <v>2365</v>
      </c>
      <c r="L355" s="11" t="s">
        <v>2366</v>
      </c>
      <c r="M355" s="1" t="s">
        <v>459</v>
      </c>
      <c r="N355" s="1" t="s">
        <v>42</v>
      </c>
      <c r="O355" s="1">
        <v>100.0</v>
      </c>
      <c r="P355" s="1">
        <v>100.0</v>
      </c>
      <c r="Q355" s="1">
        <v>0.0</v>
      </c>
      <c r="R355" s="1" t="s">
        <v>215</v>
      </c>
      <c r="S355" s="1" t="s">
        <v>2367</v>
      </c>
      <c r="T355" s="1" t="s">
        <v>2363</v>
      </c>
      <c r="U355" s="1" t="s">
        <v>461</v>
      </c>
      <c r="V355" s="1" t="s">
        <v>46</v>
      </c>
      <c r="W355" s="1" t="s">
        <v>47</v>
      </c>
      <c r="X355" s="1" t="s">
        <v>48</v>
      </c>
      <c r="Y355" s="1" t="s">
        <v>49</v>
      </c>
      <c r="Z355" s="1" t="s">
        <v>50</v>
      </c>
      <c r="AA355" s="12">
        <v>100.0</v>
      </c>
      <c r="AB355" s="12">
        <f t="shared" si="2"/>
        <v>0.1</v>
      </c>
      <c r="AC355" s="13" t="s">
        <v>51</v>
      </c>
      <c r="AD355" s="13" t="s">
        <v>2362</v>
      </c>
      <c r="AE355" s="97" t="str">
        <v>EQ-0350</v>
      </c>
      <c r="AF355" s="98" t="str">
        <v>self-service weighing scale</v>
      </c>
      <c r="AG355" s="98" t="str">
        <v>CONDITIONAL_MATCH</v>
      </c>
      <c r="AH355" s="98" t="str">
        <v>Match model or supported analogue, operating state, room allocation and all conditions in F. Use D/E only.</v>
      </c>
    </row>
    <row r="356">
      <c r="A356" s="1" t="s">
        <v>212</v>
      </c>
      <c r="B356" s="1" t="s">
        <v>2368</v>
      </c>
      <c r="C356" s="13" t="s">
        <v>129</v>
      </c>
      <c r="D356" s="14">
        <v>35.0</v>
      </c>
      <c r="E356" s="14">
        <v>0.0</v>
      </c>
      <c r="F356" s="13" t="s">
        <v>2369</v>
      </c>
      <c r="G356" s="18">
        <v>35.0</v>
      </c>
      <c r="H356" s="19">
        <f t="shared" si="32"/>
        <v>0.035</v>
      </c>
      <c r="I356" s="1" t="s">
        <v>2370</v>
      </c>
      <c r="J356" s="1" t="s">
        <v>2371</v>
      </c>
      <c r="K356" s="1" t="s">
        <v>2372</v>
      </c>
      <c r="L356" s="11" t="s">
        <v>2373</v>
      </c>
      <c r="M356" s="1" t="s">
        <v>459</v>
      </c>
      <c r="N356" s="1" t="s">
        <v>582</v>
      </c>
      <c r="O356" s="1">
        <v>35.0</v>
      </c>
      <c r="P356" s="1">
        <v>35.0</v>
      </c>
      <c r="Q356" s="1">
        <v>0.0</v>
      </c>
      <c r="R356" s="1" t="s">
        <v>215</v>
      </c>
      <c r="S356" s="1" t="s">
        <v>2374</v>
      </c>
      <c r="T356" s="1" t="s">
        <v>2370</v>
      </c>
      <c r="U356" s="1" t="s">
        <v>461</v>
      </c>
      <c r="V356" s="1" t="s">
        <v>46</v>
      </c>
      <c r="W356" s="1" t="s">
        <v>47</v>
      </c>
      <c r="X356" s="1" t="s">
        <v>48</v>
      </c>
      <c r="Y356" s="1" t="s">
        <v>49</v>
      </c>
      <c r="Z356" s="1" t="s">
        <v>50</v>
      </c>
      <c r="AA356" s="12">
        <v>35.0</v>
      </c>
      <c r="AB356" s="12">
        <f t="shared" si="2"/>
        <v>0.035</v>
      </c>
      <c r="AC356" s="13" t="s">
        <v>51</v>
      </c>
      <c r="AD356" s="13" t="s">
        <v>2369</v>
      </c>
      <c r="AE356" s="97" t="str">
        <v>EQ-0351</v>
      </c>
      <c r="AF356" s="98" t="str">
        <v>electronic security gate</v>
      </c>
      <c r="AG356" s="98" t="str">
        <v>CONDITIONAL_MATCH</v>
      </c>
      <c r="AH356" s="98" t="str">
        <v>Match model or supported analogue, operating state, room allocation and all conditions in F. Use D/E only.</v>
      </c>
    </row>
    <row r="357">
      <c r="A357" s="1" t="s">
        <v>212</v>
      </c>
      <c r="B357" s="1" t="s">
        <v>2375</v>
      </c>
      <c r="C357" s="13" t="s">
        <v>35</v>
      </c>
      <c r="D357" s="14">
        <v>15.0</v>
      </c>
      <c r="E357" s="14">
        <v>0.0</v>
      </c>
      <c r="F357" s="13" t="s">
        <v>2376</v>
      </c>
      <c r="G357" s="18">
        <v>15.0</v>
      </c>
      <c r="H357" s="19">
        <f t="shared" si="32"/>
        <v>0.015</v>
      </c>
      <c r="I357" s="1" t="s">
        <v>2377</v>
      </c>
      <c r="J357" s="1" t="s">
        <v>2378</v>
      </c>
      <c r="K357" s="1" t="s">
        <v>2379</v>
      </c>
      <c r="L357" s="11" t="s">
        <v>2380</v>
      </c>
      <c r="M357" s="1" t="s">
        <v>459</v>
      </c>
      <c r="N357" s="1" t="s">
        <v>42</v>
      </c>
      <c r="O357" s="1">
        <v>15.0</v>
      </c>
      <c r="P357" s="1">
        <v>15.0</v>
      </c>
      <c r="Q357" s="1">
        <v>0.0</v>
      </c>
      <c r="R357" s="1" t="s">
        <v>215</v>
      </c>
      <c r="S357" s="1" t="s">
        <v>2381</v>
      </c>
      <c r="T357" s="1" t="s">
        <v>2377</v>
      </c>
      <c r="U357" s="1" t="s">
        <v>676</v>
      </c>
      <c r="V357" s="1" t="s">
        <v>46</v>
      </c>
      <c r="W357" s="1" t="s">
        <v>47</v>
      </c>
      <c r="X357" s="1" t="s">
        <v>48</v>
      </c>
      <c r="Y357" s="1" t="s">
        <v>49</v>
      </c>
      <c r="Z357" s="1" t="s">
        <v>50</v>
      </c>
      <c r="AA357" s="12">
        <v>15.0</v>
      </c>
      <c r="AB357" s="12">
        <f t="shared" si="2"/>
        <v>0.015</v>
      </c>
      <c r="AC357" s="13" t="s">
        <v>51</v>
      </c>
      <c r="AD357" s="13" t="s">
        <v>2376</v>
      </c>
      <c r="AE357" s="97" t="str">
        <v>EQ-0352</v>
      </c>
      <c r="AF357" s="98" t="str">
        <v>electronic article surveillance deactivator</v>
      </c>
      <c r="AG357" s="98" t="str">
        <v>CONDITIONAL_MATCH</v>
      </c>
      <c r="AH357" s="98" t="str">
        <v>Match model or supported analogue, operating state, room allocation and all conditions in F. Use D/E only.</v>
      </c>
    </row>
    <row r="358">
      <c r="A358" s="1" t="s">
        <v>212</v>
      </c>
      <c r="B358" s="1" t="s">
        <v>2382</v>
      </c>
      <c r="C358" s="13" t="s">
        <v>479</v>
      </c>
      <c r="D358" s="14" t="s">
        <v>67</v>
      </c>
      <c r="E358" s="14" t="s">
        <v>67</v>
      </c>
      <c r="F358" s="7" t="inlineStr">
        <is>
          <t>Further research required if this item is used in the project. USER-REQUESTED HYPOTHETICAL EXAMPLE: 100 W (0.1 kW). Illustrative ten-cart charging station: assumed 10 W local charger/battery loss per cart ×10 =100 W; not a specification for ordinary passive shopping trolleys. Assumed for illustration, not sourced or project-approved. Sensible/latent split unverified. TO COMPLETE: Actual powered-cart system, charger count, batteries and charging schedule; conversion/battery losses locally released. Need powered-cart system, charger count, battery state and local losses; ordinary laptop trolleys are not equivalents. Reference link is supporting method/product context only; no numeric room-heat value established. D/E remain unknown; use documented project inputs in Room worksheet I:M once resolved.</t>
        </is>
      </c>
      <c r="G358" s="18" t="s">
        <v>616</v>
      </c>
      <c r="H358" s="19" t="s">
        <v>616</v>
      </c>
      <c r="I358" s="1" t="s">
        <v>617</v>
      </c>
      <c r="J358" s="1" t="s">
        <v>2384</v>
      </c>
      <c r="K358" s="1" t="s">
        <v>2385</v>
      </c>
      <c r="L358" s="11" t="s">
        <v>1696</v>
      </c>
      <c r="M358" s="1" t="s">
        <v>621</v>
      </c>
      <c r="N358" s="1" t="s">
        <v>42</v>
      </c>
      <c r="O358" s="1" t="s">
        <v>606</v>
      </c>
      <c r="P358" s="1" t="s">
        <v>486</v>
      </c>
      <c r="Q358" s="1" t="s">
        <v>486</v>
      </c>
      <c r="R358" s="1" t="s">
        <v>215</v>
      </c>
      <c r="S358" s="1" t="s">
        <v>2386</v>
      </c>
      <c r="T358" s="1" t="s">
        <v>617</v>
      </c>
      <c r="U358" s="1" t="s">
        <v>1698</v>
      </c>
      <c r="V358" s="1" t="s">
        <v>200</v>
      </c>
      <c r="W358" s="1" t="s">
        <v>2387</v>
      </c>
      <c r="X358" s="1" t="s">
        <v>398</v>
      </c>
      <c r="Y358" s="1" t="s">
        <v>399</v>
      </c>
      <c r="Z358" s="1" t="s">
        <v>50</v>
      </c>
      <c r="AA358" s="16">
        <v>100.0</v>
      </c>
      <c r="AB358" s="16">
        <f t="shared" si="2"/>
        <v>0.1</v>
      </c>
      <c r="AC358" s="17" t="s">
        <v>623</v>
      </c>
      <c r="AD358" s="17" t="inlineStr">
        <is>
          <t>Further research required if this item is used in the project. Illustrative ten-cart charging station: assumed 10 W local charger/battery loss per cart ×10 =100 W; not a specification for ordinary passive shopping trolleys. REQUIRED: Actual powered-cart system, charger count, batteries and charging schedule; conversion/battery losses locally released.</t>
        </is>
      </c>
      <c r="AE358" s="97" t="str">
        <v>EQ-0353</v>
      </c>
      <c r="AF358" s="98" t="str">
        <v>shopping trolley charging station</v>
      </c>
      <c r="AG358" s="98" t="str">
        <v>REFERENCE_ONLY</v>
      </c>
      <c r="AH358" s="98" t="str">
        <v>Do not auto-use reference wattage. Resolve the missing heat data or document a project estimate.</v>
      </c>
    </row>
    <row r="359">
      <c r="A359" s="1" t="s">
        <v>212</v>
      </c>
      <c r="B359" s="1" t="s">
        <v>2389</v>
      </c>
      <c r="C359" s="13" t="s">
        <v>87</v>
      </c>
      <c r="D359" s="14">
        <v>39.0</v>
      </c>
      <c r="E359" s="14">
        <v>0.0</v>
      </c>
      <c r="F359" s="13" t="s">
        <v>2390</v>
      </c>
      <c r="G359" s="18">
        <v>39.0</v>
      </c>
      <c r="H359" s="19">
        <f t="shared" ref="H359:H365" si="33">G359/1000</f>
        <v>0.039</v>
      </c>
      <c r="I359" s="1" t="s">
        <v>554</v>
      </c>
      <c r="J359" s="1" t="s">
        <v>2391</v>
      </c>
      <c r="K359" s="1" t="s">
        <v>2392</v>
      </c>
      <c r="L359" s="11" t="s">
        <v>2393</v>
      </c>
      <c r="M359" s="1" t="s">
        <v>459</v>
      </c>
      <c r="N359" s="1" t="s">
        <v>42</v>
      </c>
      <c r="O359" s="1">
        <v>39.0</v>
      </c>
      <c r="P359" s="1">
        <v>39.0</v>
      </c>
      <c r="Q359" s="1">
        <v>0.0</v>
      </c>
      <c r="R359" s="1" t="s">
        <v>215</v>
      </c>
      <c r="S359" s="1" t="s">
        <v>2394</v>
      </c>
      <c r="T359" s="1" t="s">
        <v>554</v>
      </c>
      <c r="U359" s="1" t="s">
        <v>461</v>
      </c>
      <c r="V359" s="1" t="s">
        <v>46</v>
      </c>
      <c r="W359" s="1" t="s">
        <v>47</v>
      </c>
      <c r="X359" s="1" t="s">
        <v>48</v>
      </c>
      <c r="Y359" s="1" t="s">
        <v>49</v>
      </c>
      <c r="Z359" s="1" t="s">
        <v>50</v>
      </c>
      <c r="AA359" s="12">
        <v>39.0</v>
      </c>
      <c r="AB359" s="12">
        <f t="shared" si="2"/>
        <v>0.039</v>
      </c>
      <c r="AC359" s="13" t="s">
        <v>51</v>
      </c>
      <c r="AD359" s="13" t="s">
        <v>2390</v>
      </c>
      <c r="AE359" s="97" t="str">
        <v>EQ-0354</v>
      </c>
      <c r="AF359" s="98" t="str">
        <v>digital advertising kiosk</v>
      </c>
      <c r="AG359" s="98" t="str">
        <v>CONDITIONAL_MATCH</v>
      </c>
      <c r="AH359" s="98" t="str">
        <v>Match model or supported analogue, operating state, room allocation and all conditions in F. Use D/E only.</v>
      </c>
    </row>
    <row r="360">
      <c r="A360" s="1" t="s">
        <v>212</v>
      </c>
      <c r="B360" s="1" t="s">
        <v>2395</v>
      </c>
      <c r="C360" s="13" t="s">
        <v>87</v>
      </c>
      <c r="D360" s="14">
        <v>39.0</v>
      </c>
      <c r="E360" s="14">
        <v>0.0</v>
      </c>
      <c r="F360" s="13" t="s">
        <v>2390</v>
      </c>
      <c r="G360" s="18">
        <v>39.0</v>
      </c>
      <c r="H360" s="19">
        <f t="shared" si="33"/>
        <v>0.039</v>
      </c>
      <c r="I360" s="1" t="s">
        <v>554</v>
      </c>
      <c r="J360" s="1" t="s">
        <v>2391</v>
      </c>
      <c r="K360" s="1" t="s">
        <v>2392</v>
      </c>
      <c r="L360" s="11" t="s">
        <v>2393</v>
      </c>
      <c r="M360" s="1" t="s">
        <v>459</v>
      </c>
      <c r="N360" s="1" t="s">
        <v>42</v>
      </c>
      <c r="O360" s="1">
        <v>39.0</v>
      </c>
      <c r="P360" s="1">
        <v>39.0</v>
      </c>
      <c r="Q360" s="1">
        <v>0.0</v>
      </c>
      <c r="R360" s="1" t="s">
        <v>215</v>
      </c>
      <c r="S360" s="1" t="s">
        <v>2394</v>
      </c>
      <c r="T360" s="1" t="s">
        <v>554</v>
      </c>
      <c r="U360" s="1" t="s">
        <v>461</v>
      </c>
      <c r="V360" s="1" t="s">
        <v>46</v>
      </c>
      <c r="W360" s="1" t="s">
        <v>47</v>
      </c>
      <c r="X360" s="1" t="s">
        <v>48</v>
      </c>
      <c r="Y360" s="1" t="s">
        <v>49</v>
      </c>
      <c r="Z360" s="1" t="s">
        <v>50</v>
      </c>
      <c r="AA360" s="12">
        <v>39.0</v>
      </c>
      <c r="AB360" s="12">
        <f t="shared" si="2"/>
        <v>0.039</v>
      </c>
      <c r="AC360" s="13" t="s">
        <v>51</v>
      </c>
      <c r="AD360" s="13" t="s">
        <v>2390</v>
      </c>
      <c r="AE360" s="97" t="str">
        <v>EQ-0355</v>
      </c>
      <c r="AF360" s="98" t="str">
        <v>interactive wayfinding kiosk</v>
      </c>
      <c r="AG360" s="98" t="str">
        <v>CONDITIONAL_MATCH</v>
      </c>
      <c r="AH360" s="98" t="str">
        <v>Match model or supported analogue, operating state, room allocation and all conditions in F. Use D/E only.</v>
      </c>
    </row>
    <row r="361">
      <c r="A361" s="1" t="s">
        <v>212</v>
      </c>
      <c r="B361" s="1" t="s">
        <v>2396</v>
      </c>
      <c r="C361" s="13" t="s">
        <v>35</v>
      </c>
      <c r="D361" s="14">
        <v>568.85</v>
      </c>
      <c r="E361" s="14">
        <v>0.0</v>
      </c>
      <c r="F361" s="13" t="s">
        <v>2397</v>
      </c>
      <c r="G361" s="18">
        <v>568.85</v>
      </c>
      <c r="H361" s="19">
        <f t="shared" si="33"/>
        <v>0.56885</v>
      </c>
      <c r="I361" s="1" t="s">
        <v>2398</v>
      </c>
      <c r="J361" s="1" t="s">
        <v>2399</v>
      </c>
      <c r="K361" s="1" t="s">
        <v>2400</v>
      </c>
      <c r="L361" s="11" t="s">
        <v>2401</v>
      </c>
      <c r="M361" s="1" t="s">
        <v>459</v>
      </c>
      <c r="N361" s="1" t="s">
        <v>582</v>
      </c>
      <c r="O361" s="1" t="s">
        <v>606</v>
      </c>
      <c r="P361" s="1" t="s">
        <v>486</v>
      </c>
      <c r="Q361" s="1" t="s">
        <v>486</v>
      </c>
      <c r="R361" s="1" t="s">
        <v>215</v>
      </c>
      <c r="S361" s="1" t="s">
        <v>2402</v>
      </c>
      <c r="T361" s="1" t="s">
        <v>2398</v>
      </c>
      <c r="U361" s="1" t="s">
        <v>1451</v>
      </c>
      <c r="V361" s="1" t="s">
        <v>46</v>
      </c>
      <c r="W361" s="1" t="s">
        <v>47</v>
      </c>
      <c r="X361" s="1" t="s">
        <v>48</v>
      </c>
      <c r="Y361" s="1" t="s">
        <v>49</v>
      </c>
      <c r="Z361" s="1" t="s">
        <v>50</v>
      </c>
      <c r="AA361" s="12">
        <v>568.85</v>
      </c>
      <c r="AB361" s="12">
        <f t="shared" si="2"/>
        <v>0.56885</v>
      </c>
      <c r="AC361" s="13" t="s">
        <v>51</v>
      </c>
      <c r="AD361" s="13" t="s">
        <v>2397</v>
      </c>
      <c r="AE361" s="97" t="str">
        <v>EQ-0356</v>
      </c>
      <c r="AF361" s="98" t="str">
        <v>large video wall controller</v>
      </c>
      <c r="AG361" s="98" t="str">
        <v>CONDITIONAL_MATCH</v>
      </c>
      <c r="AH361" s="98" t="str">
        <v>Match model or supported analogue, operating state, room allocation and all conditions in F. Use D/E only.</v>
      </c>
    </row>
    <row r="362">
      <c r="A362" s="1" t="s">
        <v>212</v>
      </c>
      <c r="B362" s="1" t="s">
        <v>2403</v>
      </c>
      <c r="C362" s="13" t="s">
        <v>35</v>
      </c>
      <c r="D362" s="14">
        <v>200.0</v>
      </c>
      <c r="E362" s="14">
        <v>0.0</v>
      </c>
      <c r="F362" s="13" t="s">
        <v>2404</v>
      </c>
      <c r="G362" s="18">
        <v>200.0</v>
      </c>
      <c r="H362" s="19">
        <f t="shared" si="33"/>
        <v>0.2</v>
      </c>
      <c r="I362" s="1" t="s">
        <v>2405</v>
      </c>
      <c r="J362" s="1" t="s">
        <v>2406</v>
      </c>
      <c r="K362" s="1" t="s">
        <v>2407</v>
      </c>
      <c r="L362" s="11" t="s">
        <v>2408</v>
      </c>
      <c r="M362" s="1" t="s">
        <v>459</v>
      </c>
      <c r="N362" s="1" t="s">
        <v>42</v>
      </c>
      <c r="O362" s="1">
        <v>200.0</v>
      </c>
      <c r="P362" s="1">
        <v>200.0</v>
      </c>
      <c r="Q362" s="1">
        <v>0.0</v>
      </c>
      <c r="R362" s="1" t="s">
        <v>215</v>
      </c>
      <c r="S362" s="1" t="s">
        <v>2409</v>
      </c>
      <c r="T362" s="1" t="s">
        <v>2405</v>
      </c>
      <c r="U362" s="1" t="s">
        <v>676</v>
      </c>
      <c r="V362" s="1" t="s">
        <v>46</v>
      </c>
      <c r="W362" s="1" t="s">
        <v>47</v>
      </c>
      <c r="X362" s="1" t="s">
        <v>48</v>
      </c>
      <c r="Y362" s="1" t="s">
        <v>49</v>
      </c>
      <c r="Z362" s="1" t="s">
        <v>50</v>
      </c>
      <c r="AA362" s="12">
        <v>200.0</v>
      </c>
      <c r="AB362" s="12">
        <f t="shared" si="2"/>
        <v>0.2</v>
      </c>
      <c r="AC362" s="13" t="s">
        <v>51</v>
      </c>
      <c r="AD362" s="13" t="s">
        <v>2404</v>
      </c>
      <c r="AE362" s="97" t="str">
        <v>EQ-0357</v>
      </c>
      <c r="AF362" s="98" t="str">
        <v>cash recycler</v>
      </c>
      <c r="AG362" s="98" t="str">
        <v>CONDITIONAL_MATCH</v>
      </c>
      <c r="AH362" s="98" t="str">
        <v>Match model or supported analogue, operating state, room allocation and all conditions in F. Use D/E only.</v>
      </c>
    </row>
    <row r="363">
      <c r="A363" s="1" t="s">
        <v>212</v>
      </c>
      <c r="B363" s="1" t="s">
        <v>2410</v>
      </c>
      <c r="C363" s="13" t="s">
        <v>87</v>
      </c>
      <c r="D363" s="14">
        <v>60.0</v>
      </c>
      <c r="E363" s="14">
        <v>0.0</v>
      </c>
      <c r="F363" s="13" t="s">
        <v>2411</v>
      </c>
      <c r="G363" s="18">
        <v>60.0</v>
      </c>
      <c r="H363" s="19">
        <f t="shared" si="33"/>
        <v>0.06</v>
      </c>
      <c r="I363" s="1" t="s">
        <v>649</v>
      </c>
      <c r="J363" s="1" t="s">
        <v>2412</v>
      </c>
      <c r="K363" s="1" t="s">
        <v>2413</v>
      </c>
      <c r="L363" s="11" t="s">
        <v>2414</v>
      </c>
      <c r="M363" s="1" t="s">
        <v>459</v>
      </c>
      <c r="N363" s="1" t="s">
        <v>42</v>
      </c>
      <c r="O363" s="1">
        <v>60.0</v>
      </c>
      <c r="P363" s="1">
        <v>60.0</v>
      </c>
      <c r="Q363" s="1">
        <v>0.0</v>
      </c>
      <c r="R363" s="1" t="s">
        <v>215</v>
      </c>
      <c r="S363" s="1" t="s">
        <v>2415</v>
      </c>
      <c r="T363" s="1" t="s">
        <v>649</v>
      </c>
      <c r="U363" s="1" t="s">
        <v>461</v>
      </c>
      <c r="V363" s="1" t="s">
        <v>46</v>
      </c>
      <c r="W363" s="1" t="s">
        <v>47</v>
      </c>
      <c r="X363" s="1" t="s">
        <v>48</v>
      </c>
      <c r="Y363" s="1" t="s">
        <v>49</v>
      </c>
      <c r="Z363" s="1" t="s">
        <v>50</v>
      </c>
      <c r="AA363" s="12">
        <v>60.0</v>
      </c>
      <c r="AB363" s="12">
        <f t="shared" si="2"/>
        <v>0.06</v>
      </c>
      <c r="AC363" s="13" t="s">
        <v>51</v>
      </c>
      <c r="AD363" s="13" t="s">
        <v>2411</v>
      </c>
      <c r="AE363" s="97" t="str">
        <v>EQ-0358</v>
      </c>
      <c r="AF363" s="98" t="str">
        <v>banknote counter</v>
      </c>
      <c r="AG363" s="98" t="str">
        <v>CONDITIONAL_MATCH</v>
      </c>
      <c r="AH363" s="98" t="str">
        <v>Match model or supported analogue, operating state, room allocation and all conditions in F. Use D/E only.</v>
      </c>
    </row>
    <row r="364">
      <c r="A364" s="1" t="s">
        <v>212</v>
      </c>
      <c r="B364" s="1" t="s">
        <v>2416</v>
      </c>
      <c r="C364" s="13" t="s">
        <v>87</v>
      </c>
      <c r="D364" s="14">
        <v>45.0</v>
      </c>
      <c r="E364" s="14">
        <v>0.0</v>
      </c>
      <c r="F364" s="13" t="s">
        <v>2417</v>
      </c>
      <c r="G364" s="18">
        <v>45.0</v>
      </c>
      <c r="H364" s="19">
        <f t="shared" si="33"/>
        <v>0.045</v>
      </c>
      <c r="I364" s="1" t="s">
        <v>2418</v>
      </c>
      <c r="J364" s="1" t="s">
        <v>2419</v>
      </c>
      <c r="K364" s="1" t="s">
        <v>2420</v>
      </c>
      <c r="L364" s="11" t="s">
        <v>2421</v>
      </c>
      <c r="M364" s="1" t="s">
        <v>459</v>
      </c>
      <c r="N364" s="1" t="s">
        <v>42</v>
      </c>
      <c r="O364" s="1">
        <v>45.0</v>
      </c>
      <c r="P364" s="1">
        <v>45.0</v>
      </c>
      <c r="Q364" s="1">
        <v>0.0</v>
      </c>
      <c r="R364" s="1" t="s">
        <v>215</v>
      </c>
      <c r="S364" s="1" t="s">
        <v>2422</v>
      </c>
      <c r="T364" s="1" t="s">
        <v>2418</v>
      </c>
      <c r="U364" s="1" t="s">
        <v>461</v>
      </c>
      <c r="V364" s="1" t="s">
        <v>46</v>
      </c>
      <c r="W364" s="1" t="s">
        <v>47</v>
      </c>
      <c r="X364" s="1" t="s">
        <v>48</v>
      </c>
      <c r="Y364" s="1" t="s">
        <v>49</v>
      </c>
      <c r="Z364" s="1" t="s">
        <v>50</v>
      </c>
      <c r="AA364" s="12">
        <v>45.0</v>
      </c>
      <c r="AB364" s="12">
        <f t="shared" si="2"/>
        <v>0.045</v>
      </c>
      <c r="AC364" s="13" t="s">
        <v>51</v>
      </c>
      <c r="AD364" s="13" t="s">
        <v>2417</v>
      </c>
      <c r="AE364" s="97" t="str">
        <v>EQ-0359</v>
      </c>
      <c r="AF364" s="98" t="str">
        <v>coin counting machine</v>
      </c>
      <c r="AG364" s="98" t="str">
        <v>CONDITIONAL_MATCH</v>
      </c>
      <c r="AH364" s="98" t="str">
        <v>Match model or supported analogue, operating state, room allocation and all conditions in F. Use D/E only.</v>
      </c>
    </row>
    <row r="365">
      <c r="A365" s="1" t="s">
        <v>212</v>
      </c>
      <c r="B365" s="1" t="s">
        <v>2423</v>
      </c>
      <c r="C365" s="13" t="s">
        <v>129</v>
      </c>
      <c r="D365" s="14">
        <v>0.312</v>
      </c>
      <c r="E365" s="14">
        <v>0.0</v>
      </c>
      <c r="F365" s="13" t="s">
        <v>2424</v>
      </c>
      <c r="G365" s="18">
        <v>0.312</v>
      </c>
      <c r="H365" s="19">
        <f t="shared" si="33"/>
        <v>0.000312</v>
      </c>
      <c r="I365" s="1" t="s">
        <v>2425</v>
      </c>
      <c r="J365" s="1" t="s">
        <v>2426</v>
      </c>
      <c r="K365" s="1" t="s">
        <v>2427</v>
      </c>
      <c r="L365" s="11" t="s">
        <v>2428</v>
      </c>
      <c r="M365" s="1" t="s">
        <v>459</v>
      </c>
      <c r="N365" s="1" t="s">
        <v>42</v>
      </c>
      <c r="O365" s="1">
        <v>0.312</v>
      </c>
      <c r="P365" s="1">
        <v>0.312</v>
      </c>
      <c r="Q365" s="1">
        <v>0.0</v>
      </c>
      <c r="R365" s="1" t="s">
        <v>215</v>
      </c>
      <c r="S365" s="1" t="s">
        <v>2429</v>
      </c>
      <c r="T365" s="1" t="s">
        <v>2425</v>
      </c>
      <c r="U365" s="1" t="s">
        <v>809</v>
      </c>
      <c r="V365" s="1" t="s">
        <v>46</v>
      </c>
      <c r="W365" s="1" t="s">
        <v>47</v>
      </c>
      <c r="X365" s="1" t="s">
        <v>48</v>
      </c>
      <c r="Y365" s="1" t="s">
        <v>49</v>
      </c>
      <c r="Z365" s="1" t="s">
        <v>50</v>
      </c>
      <c r="AA365" s="12">
        <v>0.312</v>
      </c>
      <c r="AB365" s="12">
        <f t="shared" si="2"/>
        <v>0.000312</v>
      </c>
      <c r="AC365" s="13" t="s">
        <v>51</v>
      </c>
      <c r="AD365" s="13" t="s">
        <v>2424</v>
      </c>
      <c r="AE365" s="97" t="str">
        <v>EQ-0360</v>
      </c>
      <c r="AF365" s="98" t="str">
        <v>automated parcel locker - powered</v>
      </c>
      <c r="AG365" s="98" t="str">
        <v>CONDITIONAL_MATCH</v>
      </c>
      <c r="AH365" s="98" t="str">
        <v>Match model or supported analogue, operating state, room allocation and all conditions in F. Use D/E only.</v>
      </c>
    </row>
    <row r="366">
      <c r="A366" s="1" t="s">
        <v>212</v>
      </c>
      <c r="B366" s="1" t="s">
        <v>2430</v>
      </c>
      <c r="C366" s="13" t="s">
        <v>479</v>
      </c>
      <c r="D366" s="14" t="s">
        <v>67</v>
      </c>
      <c r="E366" s="14" t="s">
        <v>67</v>
      </c>
      <c r="F366" s="7" t="inlineStr">
        <is>
          <t>Further research required if this item is used in the project. USER-REQUESTED HYPOTHETICAL EXAMPLE: 1000 W (1 kW). Illustrative conveyor: assumed two 500 W net locally dissipating drives =1,000 W; level transport and no net exported/stored work assumed. Assumed for illustration, not sourced or project-approved. Sensible/latent split unverified. TO COMPLETE: Conveyor length and drive inventory, speed/payload/duty; actual power and work/heat destination. Need conveyor length/drive count, payload, speed and duty; generic installed motor kW is not normal heat. Reference link is supporting method/product context only; no numeric room-heat value established. D/E remain unknown; use documented project inputs in Room worksheet I:M once resolved.</t>
        </is>
      </c>
      <c r="G366" s="18" t="s">
        <v>616</v>
      </c>
      <c r="H366" s="19" t="s">
        <v>616</v>
      </c>
      <c r="I366" s="1" t="s">
        <v>617</v>
      </c>
      <c r="J366" s="1" t="s">
        <v>2432</v>
      </c>
      <c r="K366" s="1" t="s">
        <v>2433</v>
      </c>
      <c r="L366" s="11" t="s">
        <v>2434</v>
      </c>
      <c r="M366" s="1" t="s">
        <v>621</v>
      </c>
      <c r="N366" s="1" t="s">
        <v>42</v>
      </c>
      <c r="O366" s="1" t="s">
        <v>606</v>
      </c>
      <c r="P366" s="1" t="s">
        <v>486</v>
      </c>
      <c r="Q366" s="1" t="s">
        <v>486</v>
      </c>
      <c r="R366" s="1" t="s">
        <v>215</v>
      </c>
      <c r="S366" s="1" t="s">
        <v>2435</v>
      </c>
      <c r="T366" s="1" t="s">
        <v>617</v>
      </c>
      <c r="U366" s="1" t="s">
        <v>1698</v>
      </c>
      <c r="V366" s="1" t="s">
        <v>200</v>
      </c>
      <c r="W366" s="1" t="s">
        <v>2436</v>
      </c>
      <c r="X366" s="1" t="s">
        <v>1202</v>
      </c>
      <c r="Y366" s="1" t="s">
        <v>1203</v>
      </c>
      <c r="Z366" s="1" t="s">
        <v>50</v>
      </c>
      <c r="AA366" s="16">
        <v>1000.0</v>
      </c>
      <c r="AB366" s="16">
        <f t="shared" si="2"/>
        <v>1</v>
      </c>
      <c r="AC366" s="17" t="s">
        <v>623</v>
      </c>
      <c r="AD366" s="17" t="inlineStr">
        <is>
          <t>Further research required if this item is used in the project. Illustrative conveyor: assumed two 500 W net locally dissipating drives =1,000 W; level transport and no net exported/stored work assumed. REQUIRED: Conveyor length and drive inventory, speed/payload/duty; actual power and work/heat destination.</t>
        </is>
      </c>
      <c r="AE366" s="97" t="str">
        <v>EQ-0361</v>
      </c>
      <c r="AF366" s="98" t="str">
        <v>parcel sorting conveyor</v>
      </c>
      <c r="AG366" s="98" t="str">
        <v>REFERENCE_ONLY</v>
      </c>
      <c r="AH366" s="98" t="str">
        <v>Do not auto-use reference wattage. Resolve the missing heat data or document a project estimate.</v>
      </c>
    </row>
    <row r="367">
      <c r="A367" s="1" t="s">
        <v>212</v>
      </c>
      <c r="B367" s="1" t="s">
        <v>2438</v>
      </c>
      <c r="C367" s="13" t="s">
        <v>87</v>
      </c>
      <c r="D367" s="14">
        <v>97.0</v>
      </c>
      <c r="E367" s="14">
        <v>0.0</v>
      </c>
      <c r="F367" s="13" t="s">
        <v>2439</v>
      </c>
      <c r="G367" s="18">
        <v>97.0</v>
      </c>
      <c r="H367" s="19">
        <f>G367/1000</f>
        <v>0.097</v>
      </c>
      <c r="I367" s="1" t="s">
        <v>2440</v>
      </c>
      <c r="J367" s="1" t="s">
        <v>2441</v>
      </c>
      <c r="K367" s="1" t="s">
        <v>2442</v>
      </c>
      <c r="L367" s="11" t="s">
        <v>2443</v>
      </c>
      <c r="M367" s="1" t="s">
        <v>459</v>
      </c>
      <c r="N367" s="1" t="s">
        <v>42</v>
      </c>
      <c r="O367" s="1">
        <v>97.0</v>
      </c>
      <c r="P367" s="1">
        <v>97.0</v>
      </c>
      <c r="Q367" s="1">
        <v>0.0</v>
      </c>
      <c r="R367" s="1" t="s">
        <v>215</v>
      </c>
      <c r="S367" s="1" t="s">
        <v>2444</v>
      </c>
      <c r="T367" s="1" t="s">
        <v>2440</v>
      </c>
      <c r="U367" s="1" t="s">
        <v>461</v>
      </c>
      <c r="V367" s="1" t="s">
        <v>46</v>
      </c>
      <c r="W367" s="1" t="s">
        <v>47</v>
      </c>
      <c r="X367" s="1" t="s">
        <v>48</v>
      </c>
      <c r="Y367" s="1" t="s">
        <v>49</v>
      </c>
      <c r="Z367" s="1" t="s">
        <v>50</v>
      </c>
      <c r="AA367" s="12">
        <v>97.0</v>
      </c>
      <c r="AB367" s="12">
        <f t="shared" si="2"/>
        <v>0.097</v>
      </c>
      <c r="AC367" s="13" t="s">
        <v>51</v>
      </c>
      <c r="AD367" s="13" t="s">
        <v>2439</v>
      </c>
      <c r="AE367" s="97" t="str">
        <v>EQ-0362</v>
      </c>
      <c r="AF367" s="98" t="str">
        <v>commercial label printer</v>
      </c>
      <c r="AG367" s="98" t="str">
        <v>CONDITIONAL_MATCH</v>
      </c>
      <c r="AH367" s="98" t="str">
        <v>Match model or supported analogue, operating state, room allocation and all conditions in F. Use D/E only.</v>
      </c>
    </row>
    <row r="368">
      <c r="A368" s="1" t="s">
        <v>212</v>
      </c>
      <c r="B368" s="1" t="s">
        <v>2445</v>
      </c>
      <c r="C368" s="13" t="s">
        <v>479</v>
      </c>
      <c r="D368" s="14" t="s">
        <v>67</v>
      </c>
      <c r="E368" s="14" t="s">
        <v>67</v>
      </c>
      <c r="F368" s="7" t="inlineStr">
        <is>
          <t>Further research required if this item is used in the project. NUMERIC EXAMPLE: 108 W (0.108 kW); ELECTRICAL INPUT — not established room heat. TO COMPLETE: TC22/TC27 cradle, adapters and actual occupied slots; battery states and conversion losses, not 108 W maximum input as heat. Up to108 W electrical consumption for five-slot cradle; not108 W room heat. Require battery charge states/storage, charger conversion losses and AC adapter loss. D/E remain unknown; use documented project inputs in Room worksheet I:M once resolved.</t>
        </is>
      </c>
      <c r="G368" s="18" t="s">
        <v>616</v>
      </c>
      <c r="H368" s="19" t="s">
        <v>616</v>
      </c>
      <c r="I368" s="1" t="s">
        <v>2447</v>
      </c>
      <c r="J368" s="1" t="s">
        <v>2448</v>
      </c>
      <c r="K368" s="1" t="s">
        <v>2449</v>
      </c>
      <c r="L368" s="11" t="s">
        <v>2450</v>
      </c>
      <c r="M368" s="1" t="s">
        <v>485</v>
      </c>
      <c r="N368" s="1" t="s">
        <v>42</v>
      </c>
      <c r="O368" s="1">
        <v>108.0</v>
      </c>
      <c r="P368" s="1" t="s">
        <v>486</v>
      </c>
      <c r="Q368" s="1" t="s">
        <v>486</v>
      </c>
      <c r="R368" s="1" t="s">
        <v>215</v>
      </c>
      <c r="S368" s="1" t="s">
        <v>2451</v>
      </c>
      <c r="T368" s="1" t="s">
        <v>2447</v>
      </c>
      <c r="U368" s="1" t="s">
        <v>1823</v>
      </c>
      <c r="V368" s="1" t="s">
        <v>200</v>
      </c>
      <c r="W368" s="1" t="s">
        <v>2452</v>
      </c>
      <c r="X368" s="1" t="s">
        <v>398</v>
      </c>
      <c r="Y368" s="1" t="s">
        <v>399</v>
      </c>
      <c r="Z368" s="1" t="s">
        <v>50</v>
      </c>
      <c r="AA368" s="16">
        <v>108.0</v>
      </c>
      <c r="AB368" s="16">
        <f t="shared" si="2"/>
        <v>0.108</v>
      </c>
      <c r="AC368" s="17" t="s">
        <v>878</v>
      </c>
      <c r="AD368" s="17" t="inlineStr">
        <is>
          <t>Further research required if this item is used in the project. Existing electrical reference for Warehouse handheld scanner charging dock: 108 W. Up to108 W electrical consumption for five-slot cradle; not108 W room heat. Require battery charge states/storage, charger conversion losses and AC adapter loss. This is not a measured sensible/latent room load. Only a closed energy balance can justify equating it to eventual total heat; external steam, refrigerant, fluid, work, storage and exhaust can change that result. REQUIRED: TC22/TC27 cradle, adapters and actual occupied slots; battery states and conversion losses, not 108 W maximum input as heat.</t>
        </is>
      </c>
      <c r="AE368" s="97" t="str">
        <v>EQ-0363</v>
      </c>
      <c r="AF368" s="98" t="str">
        <v>warehouse handheld scanner charging dock</v>
      </c>
      <c r="AG368" s="98" t="str">
        <v>REFERENCE_ONLY</v>
      </c>
      <c r="AH368" s="98" t="str">
        <v>Do not auto-use reference wattage. Resolve the missing heat data or document a project estimate.</v>
      </c>
    </row>
    <row r="369">
      <c r="A369" s="1" t="s">
        <v>212</v>
      </c>
      <c r="B369" s="1" t="s">
        <v>2454</v>
      </c>
      <c r="C369" s="13" t="s">
        <v>53</v>
      </c>
      <c r="D369" s="14">
        <v>54.0</v>
      </c>
      <c r="E369" s="14">
        <v>0.0</v>
      </c>
      <c r="F369" s="13" t="s">
        <v>2455</v>
      </c>
      <c r="G369" s="18">
        <v>54.0</v>
      </c>
      <c r="H369" s="19">
        <f t="shared" ref="H369:H371" si="34">G369/1000</f>
        <v>0.054</v>
      </c>
      <c r="I369" s="1" t="s">
        <v>915</v>
      </c>
      <c r="J369" s="1" t="s">
        <v>705</v>
      </c>
      <c r="K369" s="1" t="s">
        <v>2456</v>
      </c>
      <c r="L369" s="11" t="s">
        <v>58</v>
      </c>
      <c r="M369" s="1" t="s">
        <v>459</v>
      </c>
      <c r="N369" s="1" t="s">
        <v>42</v>
      </c>
      <c r="O369" s="1" t="s">
        <v>606</v>
      </c>
      <c r="P369" s="1" t="s">
        <v>486</v>
      </c>
      <c r="Q369" s="1" t="s">
        <v>486</v>
      </c>
      <c r="R369" s="1" t="s">
        <v>215</v>
      </c>
      <c r="S369" s="1" t="s">
        <v>2457</v>
      </c>
      <c r="T369" s="1" t="s">
        <v>915</v>
      </c>
      <c r="U369" s="1" t="s">
        <v>608</v>
      </c>
      <c r="V369" s="1" t="s">
        <v>46</v>
      </c>
      <c r="W369" s="1" t="s">
        <v>47</v>
      </c>
      <c r="X369" s="1" t="s">
        <v>48</v>
      </c>
      <c r="Y369" s="1" t="s">
        <v>49</v>
      </c>
      <c r="Z369" s="1" t="s">
        <v>50</v>
      </c>
      <c r="AA369" s="12">
        <v>54.0</v>
      </c>
      <c r="AB369" s="12">
        <f t="shared" si="2"/>
        <v>0.054</v>
      </c>
      <c r="AC369" s="13" t="s">
        <v>51</v>
      </c>
      <c r="AD369" s="13" t="s">
        <v>2455</v>
      </c>
      <c r="AE369" s="97" t="str">
        <v>EQ-0364</v>
      </c>
      <c r="AF369" s="98" t="str">
        <v>automated vending machine - ambient products</v>
      </c>
      <c r="AG369" s="98" t="str">
        <v>CONDITIONAL_MATCH</v>
      </c>
      <c r="AH369" s="98" t="str">
        <v>Match model or supported analogue, operating state, room allocation and all conditions in F. Use D/E only.</v>
      </c>
    </row>
    <row r="370">
      <c r="A370" s="1" t="s">
        <v>212</v>
      </c>
      <c r="B370" s="1" t="s">
        <v>2458</v>
      </c>
      <c r="C370" s="13" t="s">
        <v>194</v>
      </c>
      <c r="D370" s="14" t="s">
        <v>67</v>
      </c>
      <c r="E370" s="14" t="s">
        <v>67</v>
      </c>
      <c r="F370" s="7" t="inlineStr">
        <is>
          <t>Further research required if this item is used in the project. NUMERIC EXAMPLE: 360 W (0.36 kW); EXISTING REFERENCE — scope/state limits apply. TO COMPLETE: Sushi-display model/conditions; condenser location and net room energy balance; do not add compressor input to rejection. 360 W condenser rejection example, NOT net room gain: subtract heat extracted from the same room if modelling whole-room balance. Do not add electrical 150 W again. D/E remain unknown; use documented project inputs in Room worksheet I:M once resolved.</t>
        </is>
      </c>
      <c r="G370" s="18">
        <v>360.0</v>
      </c>
      <c r="H370" s="19">
        <f t="shared" si="34"/>
        <v>0.36</v>
      </c>
      <c r="I370" s="1" t="s">
        <v>2460</v>
      </c>
      <c r="J370" s="1" t="s">
        <v>2461</v>
      </c>
      <c r="K370" s="1" t="s">
        <v>2462</v>
      </c>
      <c r="L370" s="11" t="s">
        <v>2463</v>
      </c>
      <c r="M370" s="1" t="s">
        <v>459</v>
      </c>
      <c r="N370" s="1" t="s">
        <v>42</v>
      </c>
      <c r="O370" s="1">
        <v>150.0</v>
      </c>
      <c r="P370" s="1">
        <v>360.0</v>
      </c>
      <c r="Q370" s="1">
        <v>0.0</v>
      </c>
      <c r="R370" s="1" t="s">
        <v>215</v>
      </c>
      <c r="S370" s="1" t="s">
        <v>2464</v>
      </c>
      <c r="T370" s="1" t="s">
        <v>2460</v>
      </c>
      <c r="U370" s="1" t="s">
        <v>608</v>
      </c>
      <c r="V370" s="1" t="s">
        <v>200</v>
      </c>
      <c r="W370" s="1" t="s">
        <v>2465</v>
      </c>
      <c r="X370" s="1" t="s">
        <v>176</v>
      </c>
      <c r="Y370" s="1" t="s">
        <v>189</v>
      </c>
      <c r="Z370" s="1" t="s">
        <v>50</v>
      </c>
      <c r="AA370" s="16">
        <v>360.0</v>
      </c>
      <c r="AB370" s="16">
        <f t="shared" si="2"/>
        <v>0.36</v>
      </c>
      <c r="AC370" s="17" t="s">
        <v>201</v>
      </c>
      <c r="AD370" s="17" t="inlineStr">
        <is>
          <t>Further research required if this item is used in the project. Published condenser heat rejection 360 W condenser rejection example, NOT net room gain: subtract heat extracted from the same room if modelling whole-room balance. Do not add electrical 150 W again. This retains the original reference, including any unresolved source limitations; it is not newly validated net room heat. REQUIRED: Sushi-display model/conditions; condenser location and net room energy balance; do not add compressor input to rejection.</t>
        </is>
      </c>
      <c r="AE370" s="97" t="str">
        <v>EQ-0365</v>
      </c>
      <c r="AF370" s="98" t="str">
        <v>refrigerated sushi display</v>
      </c>
      <c r="AG370" s="98" t="str">
        <v>REFERENCE_ONLY</v>
      </c>
      <c r="AH370" s="98" t="str">
        <v>Do not auto-use reference wattage. Resolve the missing heat data or document a project estimate.</v>
      </c>
    </row>
    <row r="371">
      <c r="A371" s="1" t="s">
        <v>212</v>
      </c>
      <c r="B371" s="1" t="s">
        <v>2467</v>
      </c>
      <c r="C371" s="13" t="s">
        <v>921</v>
      </c>
      <c r="D371" s="14">
        <v>733.0</v>
      </c>
      <c r="E371" s="14">
        <v>0.0</v>
      </c>
      <c r="F371" s="13" t="s">
        <v>1069</v>
      </c>
      <c r="G371" s="18">
        <v>733.0</v>
      </c>
      <c r="H371" s="19">
        <f t="shared" si="34"/>
        <v>0.733</v>
      </c>
      <c r="I371" s="1" t="s">
        <v>1070</v>
      </c>
      <c r="J371" s="1" t="s">
        <v>705</v>
      </c>
      <c r="K371" s="1" t="s">
        <v>1071</v>
      </c>
      <c r="L371" s="11" t="s">
        <v>58</v>
      </c>
      <c r="M371" s="1" t="s">
        <v>459</v>
      </c>
      <c r="N371" s="1" t="s">
        <v>42</v>
      </c>
      <c r="O371" s="1" t="s">
        <v>606</v>
      </c>
      <c r="P371" s="1">
        <v>733.0</v>
      </c>
      <c r="Q371" s="1">
        <v>0.0</v>
      </c>
      <c r="R371" s="1" t="s">
        <v>215</v>
      </c>
      <c r="S371" s="1" t="s">
        <v>1072</v>
      </c>
      <c r="T371" s="1" t="s">
        <v>1070</v>
      </c>
      <c r="U371" s="1" t="s">
        <v>608</v>
      </c>
      <c r="V371" s="1" t="s">
        <v>46</v>
      </c>
      <c r="W371" s="1" t="s">
        <v>47</v>
      </c>
      <c r="X371" s="1" t="s">
        <v>903</v>
      </c>
      <c r="Y371" s="1" t="s">
        <v>904</v>
      </c>
      <c r="Z371" s="1" t="s">
        <v>50</v>
      </c>
      <c r="AA371" s="12">
        <v>733.0</v>
      </c>
      <c r="AB371" s="12">
        <f t="shared" si="2"/>
        <v>0.733</v>
      </c>
      <c r="AC371" s="13" t="s">
        <v>51</v>
      </c>
      <c r="AD371" s="13" t="s">
        <v>1069</v>
      </c>
      <c r="AE371" s="97" t="str">
        <v>EQ-0366</v>
      </c>
      <c r="AF371" s="98" t="str">
        <v>heated food display</v>
      </c>
      <c r="AG371" s="98" t="str">
        <v>CONDITIONAL_MATCH</v>
      </c>
      <c r="AH371" s="98" t="str">
        <v>Match model or supported analogue, operating state, room allocation and all conditions in F. Use D/E only.</v>
      </c>
    </row>
    <row r="372">
      <c r="A372" s="1" t="s">
        <v>212</v>
      </c>
      <c r="B372" s="1" t="s">
        <v>2468</v>
      </c>
      <c r="C372" s="13" t="s">
        <v>479</v>
      </c>
      <c r="D372" s="14" t="s">
        <v>67</v>
      </c>
      <c r="E372" s="14" t="s">
        <v>67</v>
      </c>
      <c r="F372" s="7" t="inlineStr">
        <is>
          <t>Further research required if this item is used in the project. NUMERIC EXAMPLE: 1600 W (1.6 kW); ELECTRICAL INPUT — not established room heat. TO COMPLETE: Tempering-machine cycle, throughput and condenser location; chocolate heat export and local rejection. Manufacturer product specification reproduced in trade publication. Refrigerated tempering process: need cycle, chocolate throughput and condenser rejection; electrical input alone is insufficient. D/E remain unknown; use documented project inputs in Room worksheet I:M once resolved.</t>
        </is>
      </c>
      <c r="G372" s="18" t="s">
        <v>616</v>
      </c>
      <c r="H372" s="19" t="s">
        <v>616</v>
      </c>
      <c r="I372" s="1" t="s">
        <v>2470</v>
      </c>
      <c r="J372" s="1" t="s">
        <v>2471</v>
      </c>
      <c r="K372" s="1" t="s">
        <v>2472</v>
      </c>
      <c r="L372" s="11" t="s">
        <v>2473</v>
      </c>
      <c r="M372" s="1" t="s">
        <v>485</v>
      </c>
      <c r="N372" s="1" t="s">
        <v>42</v>
      </c>
      <c r="O372" s="1">
        <v>1600.0</v>
      </c>
      <c r="P372" s="1" t="s">
        <v>486</v>
      </c>
      <c r="Q372" s="1" t="s">
        <v>486</v>
      </c>
      <c r="R372" s="1" t="s">
        <v>215</v>
      </c>
      <c r="S372" s="1" t="s">
        <v>2474</v>
      </c>
      <c r="T372" s="1" t="s">
        <v>2470</v>
      </c>
      <c r="U372" s="1" t="s">
        <v>1823</v>
      </c>
      <c r="V372" s="1" t="s">
        <v>200</v>
      </c>
      <c r="W372" s="1" t="s">
        <v>2475</v>
      </c>
      <c r="X372" s="1" t="s">
        <v>903</v>
      </c>
      <c r="Y372" s="1" t="s">
        <v>904</v>
      </c>
      <c r="Z372" s="1" t="s">
        <v>50</v>
      </c>
      <c r="AA372" s="16">
        <v>1600.0</v>
      </c>
      <c r="AB372" s="16">
        <f t="shared" si="2"/>
        <v>1.6</v>
      </c>
      <c r="AC372" s="17" t="s">
        <v>878</v>
      </c>
      <c r="AD372" s="17" t="inlineStr">
        <is>
          <t>Further research required if this item is used in the project. Existing electrical reference for Commercial chocolate tempering machine: 1600 W. Manufacturer product specification reproduced in trade publication. Refrigerated tempering process: need cycle, chocolate throughput and condenser rejection; electrical input alone is insufficient. This is not a measured sensible/latent room load. Only a closed energy balance can justify equating it to eventual total heat; external steam, refrigerant, fluid, work, storage and exhaust can change that result. REQUIRED: Tempering-machine cycle, throughput and condenser location; chocolate heat export and local rejection.</t>
        </is>
      </c>
      <c r="AE372" s="97" t="str">
        <v>EQ-0367</v>
      </c>
      <c r="AF372" s="98" t="str">
        <v>commercial chocolate tempering machine</v>
      </c>
      <c r="AG372" s="98" t="str">
        <v>REFERENCE_ONLY</v>
      </c>
      <c r="AH372" s="98" t="str">
        <v>Do not auto-use reference wattage. Resolve the missing heat data or document a project estimate.</v>
      </c>
    </row>
    <row r="373">
      <c r="A373" s="1" t="s">
        <v>212</v>
      </c>
      <c r="B373" s="1" t="s">
        <v>2477</v>
      </c>
      <c r="C373" s="13" t="s">
        <v>479</v>
      </c>
      <c r="D373" s="14" t="s">
        <v>67</v>
      </c>
      <c r="E373" s="14" t="s">
        <v>67</v>
      </c>
      <c r="F373" s="7" t="inlineStr">
        <is>
          <t>Further research required if this item is used in the project. NUMERIC EXAMPLE: 6050 W (6.05 kW); ELECTRICAL INPUT — not established room heat. TO COMPLETE: Exact air- or water-cooled model and regional supply; production rate and condenser/room heat data. US 60 Hz manufacturer sheet hosted by distributor. Need air/water variant and condenser rejection; 6050 W is input not room heat. D/E remain unknown; use documented project inputs in Room worksheet I:M once resolved.</t>
        </is>
      </c>
      <c r="G373" s="18" t="s">
        <v>616</v>
      </c>
      <c r="H373" s="19" t="s">
        <v>616</v>
      </c>
      <c r="I373" s="1" t="s">
        <v>1042</v>
      </c>
      <c r="J373" s="1" t="s">
        <v>2479</v>
      </c>
      <c r="K373" s="1" t="s">
        <v>2480</v>
      </c>
      <c r="L373" s="11" t="s">
        <v>2481</v>
      </c>
      <c r="M373" s="1" t="s">
        <v>485</v>
      </c>
      <c r="N373" s="1" t="s">
        <v>42</v>
      </c>
      <c r="O373" s="1">
        <v>6050.0</v>
      </c>
      <c r="P373" s="1" t="s">
        <v>486</v>
      </c>
      <c r="Q373" s="1" t="s">
        <v>486</v>
      </c>
      <c r="R373" s="1" t="s">
        <v>215</v>
      </c>
      <c r="S373" s="1" t="s">
        <v>2482</v>
      </c>
      <c r="T373" s="1" t="s">
        <v>1042</v>
      </c>
      <c r="U373" s="1" t="s">
        <v>1717</v>
      </c>
      <c r="V373" s="1" t="s">
        <v>200</v>
      </c>
      <c r="W373" s="1" t="s">
        <v>2483</v>
      </c>
      <c r="X373" s="1" t="s">
        <v>176</v>
      </c>
      <c r="Y373" s="1" t="s">
        <v>189</v>
      </c>
      <c r="Z373" s="1" t="s">
        <v>50</v>
      </c>
      <c r="AA373" s="16">
        <v>6050.0</v>
      </c>
      <c r="AB373" s="16">
        <f t="shared" si="2"/>
        <v>6.05</v>
      </c>
      <c r="AC373" s="17" t="s">
        <v>878</v>
      </c>
      <c r="AD373" s="17" t="inlineStr">
        <is>
          <t>Further research required if this item is used in the project. Existing electrical reference for Commercial soft-serve machine: 6050 W. US 60 Hz manufacturer sheet hosted by distributor. Need air/water variant and condenser rejection; 6050 W is input not room heat. This is not a measured sensible/latent room load. Only a closed energy balance can justify equating it to eventual total heat; external steam, refrigerant, fluid, work, storage and exhaust can change that result. REQUIRED: Exact air- or water-cooled model and regional supply; production rate and condenser/room heat data.</t>
        </is>
      </c>
      <c r="AE373" s="97" t="str">
        <v>EQ-0368</v>
      </c>
      <c r="AF373" s="98" t="str">
        <v>commercial soft-serve machine</v>
      </c>
      <c r="AG373" s="98" t="str">
        <v>REFERENCE_ONLY</v>
      </c>
      <c r="AH373" s="98" t="str">
        <v>Do not auto-use reference wattage. Resolve the missing heat data or document a project estimate.</v>
      </c>
    </row>
    <row r="374">
      <c r="A374" s="1" t="s">
        <v>212</v>
      </c>
      <c r="B374" s="1" t="s">
        <v>2485</v>
      </c>
      <c r="C374" s="13" t="s">
        <v>479</v>
      </c>
      <c r="D374" s="14" t="s">
        <v>67</v>
      </c>
      <c r="E374" s="14" t="s">
        <v>67</v>
      </c>
      <c r="F374" s="7" t="inlineStr">
        <is>
          <t>Further research required if this item is used in the project. NUMERIC EXAMPLE: 1000 W (1 kW); ELECTRICAL INPUT — not established room heat. TO COMPLETE: Actual slush production, condenser location and duty; product heat balance and local moisture. 230 V/50 Hz input. Rejection also includes product freezing load; require production duty and whole-room boundary. D/E remain unknown; use documented project inputs in Room worksheet I:M once resolved.</t>
        </is>
      </c>
      <c r="G374" s="18" t="s">
        <v>616</v>
      </c>
      <c r="H374" s="19" t="s">
        <v>616</v>
      </c>
      <c r="I374" s="1" t="s">
        <v>1042</v>
      </c>
      <c r="J374" s="1" t="s">
        <v>2487</v>
      </c>
      <c r="K374" s="1" t="s">
        <v>2488</v>
      </c>
      <c r="L374" s="11" t="s">
        <v>2489</v>
      </c>
      <c r="M374" s="1" t="s">
        <v>485</v>
      </c>
      <c r="N374" s="1" t="s">
        <v>42</v>
      </c>
      <c r="O374" s="1">
        <v>1000.0</v>
      </c>
      <c r="P374" s="1" t="s">
        <v>486</v>
      </c>
      <c r="Q374" s="1" t="s">
        <v>486</v>
      </c>
      <c r="R374" s="1" t="s">
        <v>215</v>
      </c>
      <c r="S374" s="1" t="s">
        <v>2490</v>
      </c>
      <c r="T374" s="1" t="s">
        <v>1042</v>
      </c>
      <c r="U374" s="1" t="s">
        <v>1717</v>
      </c>
      <c r="V374" s="1" t="s">
        <v>200</v>
      </c>
      <c r="W374" s="1" t="s">
        <v>2491</v>
      </c>
      <c r="X374" s="1" t="s">
        <v>176</v>
      </c>
      <c r="Y374" s="1" t="s">
        <v>189</v>
      </c>
      <c r="Z374" s="1" t="s">
        <v>50</v>
      </c>
      <c r="AA374" s="16">
        <v>1000.0</v>
      </c>
      <c r="AB374" s="16">
        <f t="shared" si="2"/>
        <v>1</v>
      </c>
      <c r="AC374" s="17" t="s">
        <v>878</v>
      </c>
      <c r="AD374" s="17" t="inlineStr">
        <is>
          <t>Further research required if this item is used in the project. Existing electrical reference for Commercial slush machine: 1000 W. 230 V/50 Hz input. Rejection also includes product freezing load; require production duty and whole-room boundary. This is not a measured sensible/latent room load. Only a closed energy balance can justify equating it to eventual total heat; external steam, refrigerant, fluid, work, storage and exhaust can change that result. REQUIRED: Actual slush production, condenser location and duty; product heat balance and local moisture.</t>
        </is>
      </c>
      <c r="AE374" s="97" t="str">
        <v>EQ-0369</v>
      </c>
      <c r="AF374" s="98" t="str">
        <v>commercial slush machine</v>
      </c>
      <c r="AG374" s="98" t="str">
        <v>REFERENCE_ONLY</v>
      </c>
      <c r="AH374" s="98" t="str">
        <v>Do not auto-use reference wattage. Resolve the missing heat data or document a project estimate.</v>
      </c>
    </row>
    <row r="375">
      <c r="A375" s="1" t="s">
        <v>212</v>
      </c>
      <c r="B375" s="1" t="s">
        <v>2493</v>
      </c>
      <c r="C375" s="13" t="s">
        <v>194</v>
      </c>
      <c r="D375" s="14" t="s">
        <v>67</v>
      </c>
      <c r="E375" s="14" t="s">
        <v>67</v>
      </c>
      <c r="F375" s="7" t="inlineStr">
        <is>
          <t>Further research required if this item is used in the project. NUMERIC EXAMPLE: 60.08 W (0.06008 kW); EXISTING REFERENCE — scope/state limits apply. TO COMPLETE: Actual freezer/model supply and ambient; duty/loading and gross-versus-net room heat boundary. US115 V/60 Hz model; source specifies205 BTU/h. Verify duty and model before use. Condenser rejection is not automatically net room heat; maintain stated clearances. D/E remain unknown; use documented project inputs in Room worksheet I:M once resolved.</t>
        </is>
      </c>
      <c r="G375" s="18">
        <v>60.08</v>
      </c>
      <c r="H375" s="19">
        <f>G375/1000</f>
        <v>0.06008</v>
      </c>
      <c r="I375" s="1" t="s">
        <v>2495</v>
      </c>
      <c r="J375" s="1" t="s">
        <v>2496</v>
      </c>
      <c r="K375" s="1" t="s">
        <v>2497</v>
      </c>
      <c r="L375" s="11" t="s">
        <v>2498</v>
      </c>
      <c r="M375" s="1" t="s">
        <v>459</v>
      </c>
      <c r="N375" s="1" t="s">
        <v>42</v>
      </c>
      <c r="O375" s="1" t="s">
        <v>606</v>
      </c>
      <c r="P375" s="1" t="s">
        <v>486</v>
      </c>
      <c r="Q375" s="1" t="s">
        <v>486</v>
      </c>
      <c r="R375" s="1" t="s">
        <v>215</v>
      </c>
      <c r="S375" s="1" t="s">
        <v>2499</v>
      </c>
      <c r="T375" s="1" t="s">
        <v>2495</v>
      </c>
      <c r="U375" s="1" t="s">
        <v>1451</v>
      </c>
      <c r="V375" s="1" t="s">
        <v>200</v>
      </c>
      <c r="W375" s="1" t="s">
        <v>2500</v>
      </c>
      <c r="X375" s="1" t="s">
        <v>176</v>
      </c>
      <c r="Y375" s="1" t="s">
        <v>189</v>
      </c>
      <c r="Z375" s="1" t="s">
        <v>50</v>
      </c>
      <c r="AA375" s="16">
        <v>60.08</v>
      </c>
      <c r="AB375" s="16">
        <f t="shared" si="2"/>
        <v>0.06008</v>
      </c>
      <c r="AC375" s="17" t="s">
        <v>201</v>
      </c>
      <c r="AD375" s="17" t="inlineStr">
        <is>
          <t>Further research required if this item is used in the project. Published total heat rejection at75°F(23.9°C):205 BTU/h /3.41214 US115 V/60 Hz model; source specifies205 BTU/h. Verify duty and model before use. Condenser rejection is not automatically net room heat; maintain stated clearances. This retains the original reference, including any unresolved source limitations; it is not newly validated net room heat. REQUIRED: Actual freezer/model supply and ambient; duty/loading and gross-versus-net room heat boundary.</t>
        </is>
      </c>
      <c r="AE375" s="97" t="str">
        <v>EQ-0370</v>
      </c>
      <c r="AF375" s="98" t="str">
        <v>commercial ice cream freezer</v>
      </c>
      <c r="AG375" s="98" t="str">
        <v>REFERENCE_ONLY</v>
      </c>
      <c r="AH375" s="98" t="str">
        <v>Do not auto-use reference wattage. Resolve the missing heat data or document a project estimate.</v>
      </c>
    </row>
    <row r="376">
      <c r="A376" s="1" t="s">
        <v>212</v>
      </c>
      <c r="B376" s="1" t="s">
        <v>2502</v>
      </c>
      <c r="C376" s="13" t="s">
        <v>479</v>
      </c>
      <c r="D376" s="14" t="s">
        <v>67</v>
      </c>
      <c r="E376" s="14" t="s">
        <v>67</v>
      </c>
      <c r="F376" s="7" t="inlineStr">
        <is>
          <t>Further research required if this item is used in the project. USER-REQUESTED HYPOTHETICAL EXAMPLE: 100 W (0.1 kW). Illustrative checkout belt: assumed 200 W local operating dissipation at 50% design-hour duty =100 W hourly average; POS terminal excluded. Do not apply 50% twice. Assumed for illustration, not sourced or project-approved. Sensible/latent split unverified. TO COMPLETE: Conveyor-only model and actual input/duty; separate POS electronics and mechanical work exported. Need conveyor-only input and operating duty; complete checkout-terminal consumption has a different boundary. Reference link is supporting method/product context only; no numeric room-heat value established. D/E remain unknown; use documented project inputs in Room worksheet I:M once resolved.</t>
        </is>
      </c>
      <c r="G376" s="18" t="s">
        <v>616</v>
      </c>
      <c r="H376" s="19" t="s">
        <v>616</v>
      </c>
      <c r="I376" s="1" t="s">
        <v>617</v>
      </c>
      <c r="J376" s="1" t="s">
        <v>2504</v>
      </c>
      <c r="K376" s="1" t="s">
        <v>2505</v>
      </c>
      <c r="L376" s="11" t="s">
        <v>58</v>
      </c>
      <c r="M376" s="1" t="s">
        <v>621</v>
      </c>
      <c r="N376" s="1" t="s">
        <v>42</v>
      </c>
      <c r="O376" s="1" t="s">
        <v>606</v>
      </c>
      <c r="P376" s="1" t="s">
        <v>486</v>
      </c>
      <c r="Q376" s="1" t="s">
        <v>486</v>
      </c>
      <c r="R376" s="1" t="s">
        <v>215</v>
      </c>
      <c r="S376" s="1" t="s">
        <v>2506</v>
      </c>
      <c r="T376" s="1" t="s">
        <v>617</v>
      </c>
      <c r="U376" s="1" t="s">
        <v>1698</v>
      </c>
      <c r="V376" s="1" t="s">
        <v>200</v>
      </c>
      <c r="W376" s="1" t="s">
        <v>2507</v>
      </c>
      <c r="X376" s="1" t="s">
        <v>1202</v>
      </c>
      <c r="Y376" s="1" t="s">
        <v>1203</v>
      </c>
      <c r="Z376" s="1" t="s">
        <v>50</v>
      </c>
      <c r="AA376" s="16">
        <v>100.0</v>
      </c>
      <c r="AB376" s="16">
        <f t="shared" si="2"/>
        <v>0.1</v>
      </c>
      <c r="AC376" s="17" t="s">
        <v>623</v>
      </c>
      <c r="AD376" s="17" t="inlineStr">
        <is>
          <t>Further research required if this item is used in the project. Illustrative checkout belt: assumed 200 W local operating dissipation at 50% design-hour duty =100 W hourly average; POS terminal excluded. Do not apply 50% twice. REQUIRED: Conveyor-only model and actual input/duty; separate POS electronics and mechanical work exported.</t>
        </is>
      </c>
      <c r="AE376" s="97" t="str">
        <v>EQ-0371</v>
      </c>
      <c r="AF376" s="98" t="str">
        <v>supermarket checkout conveyor</v>
      </c>
      <c r="AG376" s="98" t="str">
        <v>REFERENCE_ONLY</v>
      </c>
      <c r="AH376" s="98" t="str">
        <v>Do not auto-use reference wattage. Resolve the missing heat data or document a project estimate.</v>
      </c>
    </row>
    <row r="377">
      <c r="A377" s="1" t="s">
        <v>212</v>
      </c>
      <c r="B377" s="1" t="s">
        <v>2509</v>
      </c>
      <c r="C377" s="13" t="s">
        <v>87</v>
      </c>
      <c r="D377" s="14">
        <v>50.0</v>
      </c>
      <c r="E377" s="14">
        <v>0.0</v>
      </c>
      <c r="F377" s="13" t="s">
        <v>2510</v>
      </c>
      <c r="G377" s="18">
        <v>50.0</v>
      </c>
      <c r="H377" s="19">
        <f t="shared" ref="H377:H378" si="35">G377/1000</f>
        <v>0.05</v>
      </c>
      <c r="I377" s="1" t="s">
        <v>2511</v>
      </c>
      <c r="J377" s="1" t="s">
        <v>2512</v>
      </c>
      <c r="K377" s="1" t="s">
        <v>2513</v>
      </c>
      <c r="L377" s="11" t="s">
        <v>2514</v>
      </c>
      <c r="M377" s="1" t="s">
        <v>459</v>
      </c>
      <c r="N377" s="1" t="s">
        <v>582</v>
      </c>
      <c r="O377" s="1">
        <v>50.0</v>
      </c>
      <c r="P377" s="1">
        <v>50.0</v>
      </c>
      <c r="Q377" s="1">
        <v>0.0</v>
      </c>
      <c r="R377" s="1" t="s">
        <v>215</v>
      </c>
      <c r="S377" s="1" t="s">
        <v>2515</v>
      </c>
      <c r="T377" s="1" t="s">
        <v>2511</v>
      </c>
      <c r="U377" s="1" t="s">
        <v>1741</v>
      </c>
      <c r="V377" s="1" t="s">
        <v>46</v>
      </c>
      <c r="W377" s="1" t="s">
        <v>47</v>
      </c>
      <c r="X377" s="1" t="s">
        <v>48</v>
      </c>
      <c r="Y377" s="1" t="s">
        <v>49</v>
      </c>
      <c r="Z377" s="1" t="s">
        <v>50</v>
      </c>
      <c r="AA377" s="12">
        <v>50.0</v>
      </c>
      <c r="AB377" s="12">
        <f t="shared" si="2"/>
        <v>0.05</v>
      </c>
      <c r="AC377" s="13" t="s">
        <v>51</v>
      </c>
      <c r="AD377" s="13" t="s">
        <v>2510</v>
      </c>
      <c r="AE377" s="97" t="str">
        <v>EQ-0372</v>
      </c>
      <c r="AF377" s="98" t="str">
        <v>retail security monitoring workstation</v>
      </c>
      <c r="AG377" s="98" t="str">
        <v>CONDITIONAL_MATCH</v>
      </c>
      <c r="AH377" s="98" t="str">
        <v>Match model or supported analogue, operating state, room allocation and all conditions in F. Use D/E only.</v>
      </c>
    </row>
    <row r="378">
      <c r="A378" s="1" t="s">
        <v>2516</v>
      </c>
      <c r="B378" s="1" t="s">
        <v>2517</v>
      </c>
      <c r="C378" s="13" t="s">
        <v>53</v>
      </c>
      <c r="D378" s="14">
        <v>318.0</v>
      </c>
      <c r="E378" s="14">
        <v>335.0</v>
      </c>
      <c r="F378" s="13" t="s">
        <v>960</v>
      </c>
      <c r="G378" s="18">
        <v>653.0</v>
      </c>
      <c r="H378" s="19">
        <f t="shared" si="35"/>
        <v>0.653</v>
      </c>
      <c r="I378" s="1" t="s">
        <v>947</v>
      </c>
      <c r="J378" s="1" t="s">
        <v>705</v>
      </c>
      <c r="K378" s="1" t="s">
        <v>961</v>
      </c>
      <c r="L378" s="11" t="s">
        <v>58</v>
      </c>
      <c r="M378" s="1" t="s">
        <v>459</v>
      </c>
      <c r="N378" s="1" t="s">
        <v>42</v>
      </c>
      <c r="O378" s="1" t="s">
        <v>606</v>
      </c>
      <c r="P378" s="1">
        <v>318.0</v>
      </c>
      <c r="Q378" s="1">
        <v>335.0</v>
      </c>
      <c r="R378" s="1" t="s">
        <v>2516</v>
      </c>
      <c r="S378" s="1" t="s">
        <v>962</v>
      </c>
      <c r="T378" s="1" t="s">
        <v>947</v>
      </c>
      <c r="U378" s="1" t="s">
        <v>608</v>
      </c>
      <c r="V378" s="1" t="s">
        <v>46</v>
      </c>
      <c r="W378" s="1" t="s">
        <v>47</v>
      </c>
      <c r="X378" s="1" t="s">
        <v>48</v>
      </c>
      <c r="Y378" s="1" t="s">
        <v>49</v>
      </c>
      <c r="Z378" s="1" t="s">
        <v>50</v>
      </c>
      <c r="AA378" s="12">
        <v>653.0</v>
      </c>
      <c r="AB378" s="12">
        <f t="shared" si="2"/>
        <v>0.653</v>
      </c>
      <c r="AC378" s="13" t="s">
        <v>51</v>
      </c>
      <c r="AD378" s="13" t="s">
        <v>960</v>
      </c>
      <c r="AE378" s="97" t="str">
        <v>EQ-0373</v>
      </c>
      <c r="AF378" s="98" t="str">
        <v>electric induction hob</v>
      </c>
      <c r="AG378" s="98" t="str">
        <v>CONDITIONAL_MATCH</v>
      </c>
      <c r="AH378" s="98" t="str">
        <v>Match model or supported analogue, operating state, room allocation and all conditions in F. Use D/E only.</v>
      </c>
    </row>
    <row r="379">
      <c r="A379" s="1" t="s">
        <v>2516</v>
      </c>
      <c r="B379" s="1" t="s">
        <v>2518</v>
      </c>
      <c r="C379" s="13" t="s">
        <v>479</v>
      </c>
      <c r="D379" s="14" t="s">
        <v>67</v>
      </c>
      <c r="E379" s="14" t="s">
        <v>67</v>
      </c>
      <c r="F379" s="7" t="inlineStr">
        <is>
          <t>Further research required if this item is used in the project. NUMERIC EXAMPLE: 3000 W (3 kW); ELECTRICAL INPUT — not established room heat. TO COMPLETE: Oven preheat/bake/idle schedule; food heat export, vapour and exhaust; avoid duplicate oven entry. Oven rating; duty, food heating, moisture and exhaust affect room gain. Same oven category duplicate must count once. D/E remain unknown; use documented project inputs in Room worksheet I:M once resolved.</t>
        </is>
      </c>
      <c r="G379" s="18" t="s">
        <v>616</v>
      </c>
      <c r="H379" s="19" t="s">
        <v>616</v>
      </c>
      <c r="I379" s="1" t="s">
        <v>974</v>
      </c>
      <c r="J379" s="1" t="s">
        <v>2520</v>
      </c>
      <c r="K379" s="1" t="s">
        <v>976</v>
      </c>
      <c r="L379" s="11" t="s">
        <v>977</v>
      </c>
      <c r="M379" s="1" t="s">
        <v>485</v>
      </c>
      <c r="N379" s="1" t="s">
        <v>42</v>
      </c>
      <c r="O379" s="1">
        <v>3000.0</v>
      </c>
      <c r="P379" s="1" t="s">
        <v>486</v>
      </c>
      <c r="Q379" s="1" t="s">
        <v>486</v>
      </c>
      <c r="R379" s="1" t="s">
        <v>2516</v>
      </c>
      <c r="S379" s="1" t="s">
        <v>978</v>
      </c>
      <c r="T379" s="1" t="s">
        <v>974</v>
      </c>
      <c r="U379" s="1" t="s">
        <v>1717</v>
      </c>
      <c r="V379" s="1" t="s">
        <v>200</v>
      </c>
      <c r="W379" s="1" t="s">
        <v>2521</v>
      </c>
      <c r="X379" s="1" t="s">
        <v>903</v>
      </c>
      <c r="Y379" s="1" t="s">
        <v>904</v>
      </c>
      <c r="Z379" s="1" t="s">
        <v>50</v>
      </c>
      <c r="AA379" s="16">
        <v>3000.0</v>
      </c>
      <c r="AB379" s="16">
        <f t="shared" si="2"/>
        <v>3</v>
      </c>
      <c r="AC379" s="17" t="s">
        <v>878</v>
      </c>
      <c r="AD379" s="17" t="inlineStr">
        <is>
          <t>Further research required if this item is used in the project. Existing electrical reference for Electric wall oven: 3000 W. Oven rating; duty, food heating, moisture and exhaust affect room gain. Same oven category duplicate must count once. This is not a measured sensible/latent room load. Only a closed energy balance can justify equating it to eventual total heat; external steam, refrigerant, fluid, work, storage and exhaust can change that result. REQUIRED: Oven preheat/bake/idle schedule; food heat export, vapour and exhaust; avoid duplicate oven entry.</t>
        </is>
      </c>
      <c r="AE379" s="97" t="str">
        <v>EQ-0374</v>
      </c>
      <c r="AF379" s="98" t="str">
        <v>electric wall oven</v>
      </c>
      <c r="AG379" s="98" t="str">
        <v>REFERENCE_ONLY</v>
      </c>
      <c r="AH379" s="98" t="str">
        <v>Do not auto-use reference wattage. Resolve the missing heat data or document a project estimate.</v>
      </c>
    </row>
    <row r="380">
      <c r="A380" s="1" t="s">
        <v>2516</v>
      </c>
      <c r="B380" s="1" t="s">
        <v>2523</v>
      </c>
      <c r="C380" s="13" t="s">
        <v>479</v>
      </c>
      <c r="D380" s="14" t="s">
        <v>67</v>
      </c>
      <c r="E380" s="14" t="s">
        <v>67</v>
      </c>
      <c r="F380" s="7" t="inlineStr">
        <is>
          <t>Further research required if this item is used in the project. USER-REQUESTED HYPOTHETICAL EXAMPLE: 20 W (0.02 kW). Illustrative rangehood motor: assumed 100 W real input with 80 W carried outdoors and 20 W local loss; allocation is hypothetical; makeup-air load separate. Assumed for illustration, not sourced or project-approved. Sensible/latent split unverified. TO COMPLETE: Selected fan speed and motor location; heat discharged in exhaust versus room; makeup-air calculation separately. Need selected fan-speed input and motor location. Exhaust carries heat outside; replacement-air load is separate. Reference link is supporting method/product context only; no numeric room-heat value established. D/E remain unknown; use documented project inputs in Room worksheet I:M once resolved.</t>
        </is>
      </c>
      <c r="G380" s="18" t="s">
        <v>616</v>
      </c>
      <c r="H380" s="19" t="s">
        <v>616</v>
      </c>
      <c r="I380" s="1" t="s">
        <v>617</v>
      </c>
      <c r="J380" s="1" t="s">
        <v>2525</v>
      </c>
      <c r="K380" s="1" t="s">
        <v>2526</v>
      </c>
      <c r="L380" s="11" t="s">
        <v>58</v>
      </c>
      <c r="M380" s="1" t="s">
        <v>621</v>
      </c>
      <c r="N380" s="1" t="s">
        <v>42</v>
      </c>
      <c r="O380" s="1" t="s">
        <v>606</v>
      </c>
      <c r="P380" s="1" t="s">
        <v>486</v>
      </c>
      <c r="Q380" s="1" t="s">
        <v>486</v>
      </c>
      <c r="R380" s="1" t="s">
        <v>2516</v>
      </c>
      <c r="S380" s="1" t="s">
        <v>2527</v>
      </c>
      <c r="T380" s="1" t="s">
        <v>617</v>
      </c>
      <c r="U380" s="1" t="s">
        <v>1698</v>
      </c>
      <c r="V380" s="1" t="s">
        <v>200</v>
      </c>
      <c r="W380" s="1" t="s">
        <v>2528</v>
      </c>
      <c r="X380" s="1" t="s">
        <v>152</v>
      </c>
      <c r="Y380" s="1" t="s">
        <v>153</v>
      </c>
      <c r="Z380" s="1" t="s">
        <v>50</v>
      </c>
      <c r="AA380" s="16">
        <v>20.0</v>
      </c>
      <c r="AB380" s="16">
        <f t="shared" si="2"/>
        <v>0.02</v>
      </c>
      <c r="AC380" s="17" t="s">
        <v>623</v>
      </c>
      <c r="AD380" s="17" t="inlineStr">
        <is>
          <t>Further research required if this item is used in the project. Illustrative rangehood motor: assumed 100 W real input with 80 W carried outdoors and 20 W local loss; allocation is hypothetical; makeup-air load separate. REQUIRED: Selected fan speed and motor location; heat discharged in exhaust versus room; makeup-air calculation separately.</t>
        </is>
      </c>
      <c r="AE380" s="97" t="str">
        <v>EQ-0375</v>
      </c>
      <c r="AF380" s="98" t="str">
        <v>rangehood - motor only</v>
      </c>
      <c r="AG380" s="98" t="str">
        <v>REFERENCE_ONLY</v>
      </c>
      <c r="AH380" s="98" t="str">
        <v>Do not auto-use reference wattage. Resolve the missing heat data or document a project estimate.</v>
      </c>
    </row>
    <row r="381">
      <c r="A381" s="1" t="s">
        <v>2516</v>
      </c>
      <c r="B381" s="1" t="s">
        <v>2530</v>
      </c>
      <c r="C381" s="13" t="s">
        <v>479</v>
      </c>
      <c r="D381" s="14" t="s">
        <v>67</v>
      </c>
      <c r="E381" s="14" t="s">
        <v>67</v>
      </c>
      <c r="F381" s="7" t="inlineStr">
        <is>
          <t>Further research required if this item is used in the project. NUMERIC EXAMPLE: 6.4 W (0.0064 kW); ELECTRICAL INPUT — not established room heat. TO COMPLETE: Actual fan/regional supply and operating point; motor heat destination and makeup-air load separately. US exhaust fan at 50 CFM/0.1 inch w.g.; 6.4 W input. Exhaust removes fan heat; not automatically room sensible gain. Confirm regional voltage. D/E remain unknown; use documented project inputs in Room worksheet I:M once resolved.</t>
        </is>
      </c>
      <c r="G381" s="18" t="s">
        <v>616</v>
      </c>
      <c r="H381" s="19" t="s">
        <v>616</v>
      </c>
      <c r="I381" s="1" t="s">
        <v>1042</v>
      </c>
      <c r="J381" s="1" t="s">
        <v>1846</v>
      </c>
      <c r="K381" s="1" t="s">
        <v>1847</v>
      </c>
      <c r="L381" s="11" t="s">
        <v>1848</v>
      </c>
      <c r="M381" s="1" t="s">
        <v>485</v>
      </c>
      <c r="N381" s="1" t="s">
        <v>42</v>
      </c>
      <c r="O381" s="1">
        <v>6.4</v>
      </c>
      <c r="P381" s="1" t="s">
        <v>486</v>
      </c>
      <c r="Q381" s="1" t="s">
        <v>486</v>
      </c>
      <c r="R381" s="1" t="s">
        <v>2516</v>
      </c>
      <c r="S381" s="1" t="s">
        <v>1849</v>
      </c>
      <c r="T381" s="1" t="s">
        <v>1042</v>
      </c>
      <c r="U381" s="1" t="s">
        <v>1717</v>
      </c>
      <c r="V381" s="1" t="s">
        <v>200</v>
      </c>
      <c r="W381" s="1" t="s">
        <v>2532</v>
      </c>
      <c r="X381" s="1" t="s">
        <v>152</v>
      </c>
      <c r="Y381" s="1" t="s">
        <v>153</v>
      </c>
      <c r="Z381" s="1" t="s">
        <v>50</v>
      </c>
      <c r="AA381" s="16">
        <v>6.4</v>
      </c>
      <c r="AB381" s="16">
        <f t="shared" si="2"/>
        <v>0.0064</v>
      </c>
      <c r="AC381" s="17" t="s">
        <v>878</v>
      </c>
      <c r="AD381" s="17" t="inlineStr">
        <is>
          <t>Further research required if this item is used in the project. Existing electrical reference for Bathroom exhaust fan: 6.4 W. US exhaust fan at 50 CFM/0.1 inch w.g.; 6.4 W input. Exhaust removes fan heat; not automatically room sensible gain. Confirm regional voltage. This is not a measured sensible/latent room load. Only a closed energy balance can justify equating it to eventual total heat; external steam, refrigerant, fluid, work, storage and exhaust can change that result. REQUIRED: Actual fan/regional supply and operating point; motor heat destination and makeup-air load separately.</t>
        </is>
      </c>
      <c r="AE381" s="97" t="str">
        <v>EQ-0376</v>
      </c>
      <c r="AF381" s="98" t="str">
        <v>bathroom exhaust fan</v>
      </c>
      <c r="AG381" s="98" t="str">
        <v>REFERENCE_ONLY</v>
      </c>
      <c r="AH381" s="98" t="str">
        <v>Do not auto-use reference wattage. Resolve the missing heat data or document a project estimate.</v>
      </c>
    </row>
    <row r="382">
      <c r="A382" s="1" t="s">
        <v>2516</v>
      </c>
      <c r="B382" s="1" t="s">
        <v>2534</v>
      </c>
      <c r="C382" s="7" t="s">
        <v>1805</v>
      </c>
      <c r="D382" s="8">
        <v>94.0</v>
      </c>
      <c r="E382" s="8">
        <v>0.0</v>
      </c>
      <c r="F382" s="7" t="s">
        <v>1806</v>
      </c>
      <c r="G382" s="18">
        <v>94.0</v>
      </c>
      <c r="H382" s="19">
        <f t="shared" ref="H382:H389" si="36">G382/1000</f>
        <v>0.094</v>
      </c>
      <c r="I382" s="1" t="s">
        <v>1807</v>
      </c>
      <c r="J382" s="1" t="s">
        <v>1806</v>
      </c>
      <c r="K382" s="1" t="s">
        <v>1808</v>
      </c>
      <c r="L382" s="11" t="s">
        <v>1809</v>
      </c>
      <c r="M382" s="1" t="s">
        <v>1810</v>
      </c>
      <c r="N382" s="1" t="s">
        <v>42</v>
      </c>
      <c r="O382" s="1">
        <v>94.0</v>
      </c>
      <c r="P382" s="1">
        <v>94.0</v>
      </c>
      <c r="Q382" s="1">
        <v>0.0</v>
      </c>
      <c r="R382" s="1" t="s">
        <v>2516</v>
      </c>
      <c r="S382" s="1" t="s">
        <v>1811</v>
      </c>
      <c r="T382" s="1" t="s">
        <v>1807</v>
      </c>
      <c r="U382" s="1" t="s">
        <v>1812</v>
      </c>
      <c r="V382" s="1" t="s">
        <v>46</v>
      </c>
      <c r="W382" s="1" t="s">
        <v>47</v>
      </c>
      <c r="X382" s="1" t="s">
        <v>903</v>
      </c>
      <c r="Y382" s="1" t="s">
        <v>904</v>
      </c>
      <c r="Z382" s="1" t="s">
        <v>50</v>
      </c>
      <c r="AA382" s="12">
        <v>94.0</v>
      </c>
      <c r="AB382" s="12">
        <f t="shared" si="2"/>
        <v>0.094</v>
      </c>
      <c r="AC382" s="13" t="s">
        <v>51</v>
      </c>
      <c r="AD382" s="13" t="s">
        <v>1806</v>
      </c>
      <c r="AE382" s="97" t="str">
        <v>EQ-0377</v>
      </c>
      <c r="AF382" s="98" t="str">
        <v>heated towel rail</v>
      </c>
      <c r="AG382" s="98" t="str">
        <v>CONDITIONAL_MATCH</v>
      </c>
      <c r="AH382" s="98" t="str">
        <v>Match model or supported analogue, operating state, room allocation and all conditions in F. Use D/E only.</v>
      </c>
    </row>
    <row r="383">
      <c r="A383" s="1" t="s">
        <v>2516</v>
      </c>
      <c r="B383" s="1" t="s">
        <v>2535</v>
      </c>
      <c r="C383" s="7" t="s">
        <v>2536</v>
      </c>
      <c r="D383" s="8">
        <v>0.2</v>
      </c>
      <c r="E383" s="8">
        <v>0.0</v>
      </c>
      <c r="F383" s="7" t="s">
        <v>2537</v>
      </c>
      <c r="G383" s="18">
        <v>0.2</v>
      </c>
      <c r="H383" s="19">
        <f t="shared" si="36"/>
        <v>0.0002</v>
      </c>
      <c r="I383" s="1" t="s">
        <v>2538</v>
      </c>
      <c r="J383" s="1" t="s">
        <v>2537</v>
      </c>
      <c r="K383" s="1" t="s">
        <v>2539</v>
      </c>
      <c r="L383" s="11" t="s">
        <v>2540</v>
      </c>
      <c r="M383" s="1" t="s">
        <v>2541</v>
      </c>
      <c r="N383" s="1" t="s">
        <v>582</v>
      </c>
      <c r="O383" s="1">
        <v>0.2</v>
      </c>
      <c r="P383" s="1">
        <v>0.2</v>
      </c>
      <c r="Q383" s="1">
        <v>0.0</v>
      </c>
      <c r="R383" s="1" t="s">
        <v>2516</v>
      </c>
      <c r="S383" s="1" t="s">
        <v>2542</v>
      </c>
      <c r="T383" s="1" t="s">
        <v>2538</v>
      </c>
      <c r="U383" s="1" t="s">
        <v>2543</v>
      </c>
      <c r="V383" s="1" t="s">
        <v>2544</v>
      </c>
      <c r="W383" s="1" t="s">
        <v>2545</v>
      </c>
      <c r="X383" s="1" t="s">
        <v>48</v>
      </c>
      <c r="Y383" s="1" t="s">
        <v>49</v>
      </c>
      <c r="Z383" s="1" t="s">
        <v>50</v>
      </c>
      <c r="AA383" s="12">
        <v>0.2</v>
      </c>
      <c r="AB383" s="12">
        <f t="shared" si="2"/>
        <v>0.0002</v>
      </c>
      <c r="AC383" s="13" t="s">
        <v>51</v>
      </c>
      <c r="AD383" s="13" t="s">
        <v>2537</v>
      </c>
      <c r="AE383" s="97" t="str">
        <v>EQ-0378</v>
      </c>
      <c r="AF383" s="98" t="str">
        <v>electric underfloor heating controller</v>
      </c>
      <c r="AG383" s="98" t="str">
        <v>CONDITIONAL_MATCH</v>
      </c>
      <c r="AH383" s="98" t="str">
        <v>Match model or supported analogue, operating state, room allocation and all conditions in F. Use D/E only.</v>
      </c>
    </row>
    <row r="384">
      <c r="A384" s="1" t="s">
        <v>2516</v>
      </c>
      <c r="B384" s="1" t="s">
        <v>2546</v>
      </c>
      <c r="C384" s="13" t="s">
        <v>87</v>
      </c>
      <c r="D384" s="14">
        <v>2000.0</v>
      </c>
      <c r="E384" s="14">
        <v>0.0</v>
      </c>
      <c r="F384" s="13" t="s">
        <v>2547</v>
      </c>
      <c r="G384" s="18">
        <v>2000.0</v>
      </c>
      <c r="H384" s="19">
        <f t="shared" si="36"/>
        <v>2</v>
      </c>
      <c r="I384" s="1" t="s">
        <v>2548</v>
      </c>
      <c r="J384" s="1" t="s">
        <v>2549</v>
      </c>
      <c r="K384" s="1" t="s">
        <v>2550</v>
      </c>
      <c r="L384" s="11" t="s">
        <v>2551</v>
      </c>
      <c r="M384" s="1" t="s">
        <v>524</v>
      </c>
      <c r="N384" s="1" t="s">
        <v>42</v>
      </c>
      <c r="O384" s="1">
        <v>2000.0</v>
      </c>
      <c r="P384" s="1">
        <v>2000.0</v>
      </c>
      <c r="Q384" s="1">
        <v>0.0</v>
      </c>
      <c r="R384" s="1" t="s">
        <v>2516</v>
      </c>
      <c r="S384" s="1" t="s">
        <v>2552</v>
      </c>
      <c r="T384" s="1" t="s">
        <v>2548</v>
      </c>
      <c r="U384" s="1" t="s">
        <v>559</v>
      </c>
      <c r="V384" s="1" t="s">
        <v>46</v>
      </c>
      <c r="W384" s="1" t="s">
        <v>47</v>
      </c>
      <c r="X384" s="1" t="s">
        <v>48</v>
      </c>
      <c r="Y384" s="1" t="s">
        <v>49</v>
      </c>
      <c r="Z384" s="1" t="s">
        <v>50</v>
      </c>
      <c r="AA384" s="12">
        <v>2000.0</v>
      </c>
      <c r="AB384" s="12">
        <f t="shared" si="2"/>
        <v>2</v>
      </c>
      <c r="AC384" s="13" t="s">
        <v>51</v>
      </c>
      <c r="AD384" s="13" t="s">
        <v>2547</v>
      </c>
      <c r="AE384" s="97" t="str">
        <v>EQ-0379</v>
      </c>
      <c r="AF384" s="98" t="str">
        <v>electric fireplace</v>
      </c>
      <c r="AG384" s="98" t="str">
        <v>CONDITIONAL_MATCH</v>
      </c>
      <c r="AH384" s="98" t="str">
        <v>Match model or supported analogue, operating state, room allocation and all conditions in F. Use D/E only.</v>
      </c>
    </row>
    <row r="385">
      <c r="A385" s="1" t="s">
        <v>2516</v>
      </c>
      <c r="B385" s="1" t="s">
        <v>2553</v>
      </c>
      <c r="C385" s="13" t="s">
        <v>87</v>
      </c>
      <c r="D385" s="14">
        <v>2.46</v>
      </c>
      <c r="E385" s="14">
        <v>0.0</v>
      </c>
      <c r="F385" s="13" t="s">
        <v>2554</v>
      </c>
      <c r="G385" s="18">
        <v>2.46</v>
      </c>
      <c r="H385" s="19">
        <f t="shared" si="36"/>
        <v>0.00246</v>
      </c>
      <c r="I385" s="1" t="s">
        <v>2555</v>
      </c>
      <c r="J385" s="1" t="s">
        <v>2556</v>
      </c>
      <c r="K385" s="1" t="s">
        <v>2557</v>
      </c>
      <c r="L385" s="11" t="s">
        <v>2558</v>
      </c>
      <c r="M385" s="1" t="s">
        <v>459</v>
      </c>
      <c r="N385" s="1" t="s">
        <v>42</v>
      </c>
      <c r="O385" s="1">
        <v>2.46</v>
      </c>
      <c r="P385" s="1">
        <v>2.46</v>
      </c>
      <c r="Q385" s="1">
        <v>0.0</v>
      </c>
      <c r="R385" s="1" t="s">
        <v>2516</v>
      </c>
      <c r="S385" s="1" t="s">
        <v>2559</v>
      </c>
      <c r="T385" s="1" t="s">
        <v>2555</v>
      </c>
      <c r="U385" s="1" t="s">
        <v>461</v>
      </c>
      <c r="V385" s="1" t="s">
        <v>46</v>
      </c>
      <c r="W385" s="1" t="s">
        <v>47</v>
      </c>
      <c r="X385" s="1" t="s">
        <v>48</v>
      </c>
      <c r="Y385" s="1" t="s">
        <v>49</v>
      </c>
      <c r="Z385" s="1" t="s">
        <v>50</v>
      </c>
      <c r="AA385" s="12">
        <v>2.46</v>
      </c>
      <c r="AB385" s="12">
        <f t="shared" si="2"/>
        <v>0.00246</v>
      </c>
      <c r="AC385" s="13" t="s">
        <v>51</v>
      </c>
      <c r="AD385" s="13" t="s">
        <v>2554</v>
      </c>
      <c r="AE385" s="97" t="str">
        <v>EQ-0380</v>
      </c>
      <c r="AF385" s="98" t="str">
        <v>television set-top box</v>
      </c>
      <c r="AG385" s="98" t="str">
        <v>CONDITIONAL_MATCH</v>
      </c>
      <c r="AH385" s="98" t="str">
        <v>Match model or supported analogue, operating state, room allocation and all conditions in F. Use D/E only.</v>
      </c>
    </row>
    <row r="386">
      <c r="A386" s="1" t="s">
        <v>2516</v>
      </c>
      <c r="B386" s="1" t="s">
        <v>2560</v>
      </c>
      <c r="C386" s="13" t="s">
        <v>87</v>
      </c>
      <c r="D386" s="14">
        <v>260.0</v>
      </c>
      <c r="E386" s="14">
        <v>0.0</v>
      </c>
      <c r="F386" s="13" t="s">
        <v>2561</v>
      </c>
      <c r="G386" s="18">
        <v>260.0</v>
      </c>
      <c r="H386" s="19">
        <f t="shared" si="36"/>
        <v>0.26</v>
      </c>
      <c r="I386" s="1" t="s">
        <v>2562</v>
      </c>
      <c r="J386" s="1" t="s">
        <v>2563</v>
      </c>
      <c r="K386" s="1" t="s">
        <v>2564</v>
      </c>
      <c r="L386" s="11" t="s">
        <v>2565</v>
      </c>
      <c r="M386" s="1" t="s">
        <v>459</v>
      </c>
      <c r="N386" s="1" t="s">
        <v>42</v>
      </c>
      <c r="O386" s="1">
        <v>260.0</v>
      </c>
      <c r="P386" s="1">
        <v>260.0</v>
      </c>
      <c r="Q386" s="1">
        <v>0.0</v>
      </c>
      <c r="R386" s="1" t="s">
        <v>2516</v>
      </c>
      <c r="S386" s="1" t="s">
        <v>2566</v>
      </c>
      <c r="T386" s="1" t="s">
        <v>2562</v>
      </c>
      <c r="U386" s="1" t="s">
        <v>461</v>
      </c>
      <c r="V386" s="1" t="s">
        <v>46</v>
      </c>
      <c r="W386" s="1" t="s">
        <v>47</v>
      </c>
      <c r="X386" s="1" t="s">
        <v>48</v>
      </c>
      <c r="Y386" s="1" t="s">
        <v>49</v>
      </c>
      <c r="Z386" s="1" t="s">
        <v>50</v>
      </c>
      <c r="AA386" s="12">
        <v>260.0</v>
      </c>
      <c r="AB386" s="12">
        <f t="shared" si="2"/>
        <v>0.26</v>
      </c>
      <c r="AC386" s="13" t="s">
        <v>51</v>
      </c>
      <c r="AD386" s="13" t="s">
        <v>2561</v>
      </c>
      <c r="AE386" s="97" t="str">
        <v>EQ-0381</v>
      </c>
      <c r="AF386" s="98" t="str">
        <v>home entertainment receiver</v>
      </c>
      <c r="AG386" s="98" t="str">
        <v>CONDITIONAL_MATCH</v>
      </c>
      <c r="AH386" s="98" t="str">
        <v>Match model or supported analogue, operating state, room allocation and all conditions in F. Use D/E only.</v>
      </c>
    </row>
    <row r="387">
      <c r="A387" s="1" t="s">
        <v>2516</v>
      </c>
      <c r="B387" s="1" t="s">
        <v>2567</v>
      </c>
      <c r="C387" s="13" t="s">
        <v>129</v>
      </c>
      <c r="D387" s="14">
        <v>1.8</v>
      </c>
      <c r="E387" s="14">
        <v>0.0</v>
      </c>
      <c r="F387" s="13" t="s">
        <v>2568</v>
      </c>
      <c r="G387" s="18">
        <v>1.8</v>
      </c>
      <c r="H387" s="19">
        <f t="shared" si="36"/>
        <v>0.0018</v>
      </c>
      <c r="I387" s="1" t="s">
        <v>2569</v>
      </c>
      <c r="J387" s="1" t="s">
        <v>2570</v>
      </c>
      <c r="K387" s="1" t="s">
        <v>2571</v>
      </c>
      <c r="L387" s="11" t="s">
        <v>2572</v>
      </c>
      <c r="M387" s="1" t="s">
        <v>1302</v>
      </c>
      <c r="N387" s="1" t="s">
        <v>42</v>
      </c>
      <c r="O387" s="1">
        <v>1.8</v>
      </c>
      <c r="P387" s="1">
        <v>1.8</v>
      </c>
      <c r="Q387" s="1">
        <v>0.0</v>
      </c>
      <c r="R387" s="1" t="s">
        <v>2516</v>
      </c>
      <c r="S387" s="1" t="s">
        <v>2573</v>
      </c>
      <c r="T387" s="1" t="s">
        <v>2569</v>
      </c>
      <c r="U387" s="1" t="s">
        <v>1551</v>
      </c>
      <c r="V387" s="1" t="s">
        <v>46</v>
      </c>
      <c r="W387" s="1" t="s">
        <v>47</v>
      </c>
      <c r="X387" s="1" t="s">
        <v>398</v>
      </c>
      <c r="Y387" s="1" t="s">
        <v>399</v>
      </c>
      <c r="Z387" s="1" t="s">
        <v>50</v>
      </c>
      <c r="AA387" s="12">
        <v>1.8</v>
      </c>
      <c r="AB387" s="12">
        <f t="shared" si="2"/>
        <v>0.0018</v>
      </c>
      <c r="AC387" s="13" t="s">
        <v>51</v>
      </c>
      <c r="AD387" s="13" t="s">
        <v>2568</v>
      </c>
      <c r="AE387" s="97" t="str">
        <v>EQ-0382</v>
      </c>
      <c r="AF387" s="98" t="str">
        <v>robotic vacuum - charging dock</v>
      </c>
      <c r="AG387" s="98" t="str">
        <v>CONDITIONAL_MATCH</v>
      </c>
      <c r="AH387" s="98" t="str">
        <v>Match model or supported analogue, operating state, room allocation and all conditions in F. Use D/E only.</v>
      </c>
    </row>
    <row r="388">
      <c r="A388" s="1" t="s">
        <v>2516</v>
      </c>
      <c r="B388" s="1" t="s">
        <v>2574</v>
      </c>
      <c r="C388" s="7" t="s">
        <v>2575</v>
      </c>
      <c r="D388" s="8">
        <v>0.1</v>
      </c>
      <c r="E388" s="8">
        <v>0.0</v>
      </c>
      <c r="F388" s="7" t="s">
        <v>2576</v>
      </c>
      <c r="G388" s="18">
        <v>0.1</v>
      </c>
      <c r="H388" s="19">
        <f t="shared" si="36"/>
        <v>0.0001</v>
      </c>
      <c r="I388" s="1" t="s">
        <v>2577</v>
      </c>
      <c r="J388" s="1" t="s">
        <v>2576</v>
      </c>
      <c r="K388" s="1" t="s">
        <v>2578</v>
      </c>
      <c r="L388" s="11" t="s">
        <v>2579</v>
      </c>
      <c r="M388" s="1" t="s">
        <v>2541</v>
      </c>
      <c r="N388" s="1" t="s">
        <v>42</v>
      </c>
      <c r="O388" s="1">
        <v>0.1</v>
      </c>
      <c r="P388" s="1">
        <v>0.1</v>
      </c>
      <c r="Q388" s="1">
        <v>0.0</v>
      </c>
      <c r="R388" s="1" t="s">
        <v>2516</v>
      </c>
      <c r="S388" s="1" t="s">
        <v>2580</v>
      </c>
      <c r="T388" s="1" t="s">
        <v>2577</v>
      </c>
      <c r="U388" s="1" t="s">
        <v>2543</v>
      </c>
      <c r="V388" s="1" t="s">
        <v>2544</v>
      </c>
      <c r="W388" s="1" t="s">
        <v>2545</v>
      </c>
      <c r="X388" s="1" t="s">
        <v>1202</v>
      </c>
      <c r="Y388" s="1" t="s">
        <v>1203</v>
      </c>
      <c r="Z388" s="1" t="s">
        <v>50</v>
      </c>
      <c r="AA388" s="12">
        <v>0.1</v>
      </c>
      <c r="AB388" s="12">
        <f t="shared" si="2"/>
        <v>0.0001</v>
      </c>
      <c r="AC388" s="13" t="s">
        <v>51</v>
      </c>
      <c r="AD388" s="13" t="s">
        <v>2576</v>
      </c>
      <c r="AE388" s="97" t="str">
        <v>EQ-0383</v>
      </c>
      <c r="AF388" s="98" t="str">
        <v>electric adjustable bed</v>
      </c>
      <c r="AG388" s="98" t="str">
        <v>CONDITIONAL_MATCH</v>
      </c>
      <c r="AH388" s="98" t="str">
        <v>Match model or supported analogue, operating state, room allocation and all conditions in F. Use D/E only.</v>
      </c>
    </row>
    <row r="389">
      <c r="A389" s="1" t="s">
        <v>2581</v>
      </c>
      <c r="B389" s="1" t="s">
        <v>2582</v>
      </c>
      <c r="C389" s="13" t="s">
        <v>194</v>
      </c>
      <c r="D389" s="14" t="s">
        <v>67</v>
      </c>
      <c r="E389" s="14" t="s">
        <v>67</v>
      </c>
      <c r="F389" s="7" t="inlineStr">
        <is>
          <t>Further research required if this item is used in the project. NUMERIC EXAMPLE: 13.33 W (0.01333 kW); EXISTING REFERENCE — scope/state limits apply. TO COMPLETE: Design-hour running/defrost load and room balance; annual-average energy does not establish a sizing peak. NET whole-room gain example at 25°C ambient /4°C cabinet with no net product heat flow and entire unit inside room. Not condenser rejection or sizing peak; input running range 42–52 W. D/E remain unknown; use documented project inputs in Room worksheet I:M once resolved.</t>
        </is>
      </c>
      <c r="G389" s="18">
        <v>13.33</v>
      </c>
      <c r="H389" s="19">
        <f t="shared" si="36"/>
        <v>0.01333</v>
      </c>
      <c r="I389" s="1" t="s">
        <v>2584</v>
      </c>
      <c r="J389" s="1" t="s">
        <v>2585</v>
      </c>
      <c r="K389" s="1" t="s">
        <v>2586</v>
      </c>
      <c r="L389" s="11" t="s">
        <v>2587</v>
      </c>
      <c r="M389" s="1" t="s">
        <v>459</v>
      </c>
      <c r="N389" s="1" t="s">
        <v>42</v>
      </c>
      <c r="O389" s="1">
        <v>13.33</v>
      </c>
      <c r="P389" s="1">
        <v>13.33</v>
      </c>
      <c r="Q389" s="1">
        <v>0.0</v>
      </c>
      <c r="R389" s="1" t="s">
        <v>2588</v>
      </c>
      <c r="S389" s="1" t="s">
        <v>2589</v>
      </c>
      <c r="T389" s="1" t="s">
        <v>2584</v>
      </c>
      <c r="U389" s="1" t="s">
        <v>461</v>
      </c>
      <c r="V389" s="1" t="s">
        <v>200</v>
      </c>
      <c r="W389" s="1" t="s">
        <v>2590</v>
      </c>
      <c r="X389" s="1" t="s">
        <v>176</v>
      </c>
      <c r="Y389" s="1" t="s">
        <v>189</v>
      </c>
      <c r="Z389" s="1" t="s">
        <v>50</v>
      </c>
      <c r="AA389" s="16">
        <v>13.33</v>
      </c>
      <c r="AB389" s="16">
        <f t="shared" si="2"/>
        <v>0.01333</v>
      </c>
      <c r="AC389" s="17" t="s">
        <v>201</v>
      </c>
      <c r="AD389" s="17" t="inlineStr">
        <is>
          <t>Further research required if this item is used in the project. Cycle average: 0.32 kWh/day × 1000 / 24 NET whole-room gain example at 25°C ambient /4°C cabinet with no net product heat flow and entire unit inside room. Not condenser rejection or sizing peak; input running range 42–52 W. This retains the original reference, including any unresolved source limitations; it is not newly validated net room heat. REQUIRED: Design-hour running/defrost load and room balance; annual-average energy does not establish a sizing peak.</t>
        </is>
      </c>
      <c r="AE389" s="97" t="str">
        <v>EQ-0384</v>
      </c>
      <c r="AF389" s="98" t="str">
        <v>electronic minibar refrigerator</v>
      </c>
      <c r="AG389" s="98" t="str">
        <v>REFERENCE_ONLY</v>
      </c>
      <c r="AH389" s="98" t="str">
        <v>Do not auto-use reference wattage. Resolve the missing heat data or document a project estimate.</v>
      </c>
    </row>
    <row r="390">
      <c r="A390" s="1" t="s">
        <v>2581</v>
      </c>
      <c r="B390" s="1" t="s">
        <v>2592</v>
      </c>
      <c r="C390" s="13" t="s">
        <v>479</v>
      </c>
      <c r="D390" s="14" t="s">
        <v>67</v>
      </c>
      <c r="E390" s="14" t="s">
        <v>67</v>
      </c>
      <c r="F390" s="7" t="inlineStr">
        <is>
          <t>Further research required if this item is used in the project. USER-REQUESTED HYPOTHETICAL EXAMPLE: 0.0006 W (6e-7 kW). Illustrative safe: assumed 6 V ×0.0001 A average current =0.0006 W; assumed current includes opening duty. Battery count alone does not support this figure. Assumed for illustration, not sourced or project-approved. Sensible/latent split unverified. TO COMPLETE: Whole-safe idle current and energy per opening at actual battery voltage; openings/hour. Battery count does not determine usual heat watts. Need idle current and energy/opening with usage; do not assign zero. D/E remain unknown; use documented project inputs in Room worksheet I:M once resolved.</t>
        </is>
      </c>
      <c r="G390" s="18" t="s">
        <v>616</v>
      </c>
      <c r="H390" s="19" t="s">
        <v>616</v>
      </c>
      <c r="I390" s="1" t="s">
        <v>2594</v>
      </c>
      <c r="J390" s="1" t="s">
        <v>2595</v>
      </c>
      <c r="K390" s="1" t="s">
        <v>2596</v>
      </c>
      <c r="L390" s="11" t="s">
        <v>2597</v>
      </c>
      <c r="M390" s="1" t="s">
        <v>621</v>
      </c>
      <c r="N390" s="1" t="s">
        <v>42</v>
      </c>
      <c r="O390" s="1" t="s">
        <v>606</v>
      </c>
      <c r="P390" s="1" t="s">
        <v>486</v>
      </c>
      <c r="Q390" s="1" t="s">
        <v>486</v>
      </c>
      <c r="R390" s="1" t="s">
        <v>2588</v>
      </c>
      <c r="S390" s="1" t="s">
        <v>2598</v>
      </c>
      <c r="T390" s="1" t="s">
        <v>2594</v>
      </c>
      <c r="U390" s="1" t="s">
        <v>1698</v>
      </c>
      <c r="V390" s="1" t="s">
        <v>200</v>
      </c>
      <c r="W390" s="1" t="s">
        <v>2599</v>
      </c>
      <c r="X390" s="1" t="s">
        <v>48</v>
      </c>
      <c r="Y390" s="1" t="s">
        <v>49</v>
      </c>
      <c r="Z390" s="1" t="s">
        <v>50</v>
      </c>
      <c r="AA390" s="16">
        <v>6.0E-4</v>
      </c>
      <c r="AB390" s="16">
        <f t="shared" si="2"/>
        <v>0.0000006</v>
      </c>
      <c r="AC390" s="17" t="s">
        <v>623</v>
      </c>
      <c r="AD390" s="17" t="inlineStr">
        <is>
          <t>Further research required if this item is used in the project. Illustrative safe: assumed 6 V ×0.0001 A average current =0.0006 W; assumed current includes opening duty. Battery count alone does not support this figure. REQUIRED: Whole-safe idle current and energy per opening at actual battery voltage; openings/hour.</t>
        </is>
      </c>
      <c r="AE390" s="97" t="str">
        <v>EQ-0385</v>
      </c>
      <c r="AF390" s="98" t="str">
        <v>hotel room safe</v>
      </c>
      <c r="AG390" s="98" t="str">
        <v>REFERENCE_ONLY</v>
      </c>
      <c r="AH390" s="98" t="str">
        <v>Do not auto-use reference wattage. Resolve the missing heat data or document a project estimate.</v>
      </c>
    </row>
    <row r="391">
      <c r="A391" s="1" t="s">
        <v>2581</v>
      </c>
      <c r="B391" s="1" t="s">
        <v>2601</v>
      </c>
      <c r="C391" s="13" t="s">
        <v>87</v>
      </c>
      <c r="D391" s="14">
        <v>3.6</v>
      </c>
      <c r="E391" s="14">
        <v>0.0</v>
      </c>
      <c r="F391" s="13" t="s">
        <v>2602</v>
      </c>
      <c r="G391" s="18">
        <v>3.6</v>
      </c>
      <c r="H391" s="19">
        <f t="shared" ref="H391:H397" si="37">G391/1000</f>
        <v>0.0036</v>
      </c>
      <c r="I391" s="1" t="s">
        <v>2603</v>
      </c>
      <c r="J391" s="1" t="s">
        <v>2604</v>
      </c>
      <c r="K391" s="1" t="s">
        <v>2605</v>
      </c>
      <c r="L391" s="11" t="s">
        <v>2606</v>
      </c>
      <c r="M391" s="1" t="s">
        <v>459</v>
      </c>
      <c r="N391" s="1" t="s">
        <v>42</v>
      </c>
      <c r="O391" s="1">
        <v>3.6</v>
      </c>
      <c r="P391" s="1">
        <v>3.6</v>
      </c>
      <c r="Q391" s="1">
        <v>0.0</v>
      </c>
      <c r="R391" s="1" t="s">
        <v>2588</v>
      </c>
      <c r="S391" s="1" t="s">
        <v>2607</v>
      </c>
      <c r="T391" s="1" t="s">
        <v>2603</v>
      </c>
      <c r="U391" s="1" t="s">
        <v>1741</v>
      </c>
      <c r="V391" s="1" t="s">
        <v>46</v>
      </c>
      <c r="W391" s="1" t="s">
        <v>47</v>
      </c>
      <c r="X391" s="1" t="s">
        <v>48</v>
      </c>
      <c r="Y391" s="1" t="s">
        <v>49</v>
      </c>
      <c r="Z391" s="1" t="s">
        <v>50</v>
      </c>
      <c r="AA391" s="12">
        <v>3.6</v>
      </c>
      <c r="AB391" s="12">
        <f t="shared" si="2"/>
        <v>0.0036</v>
      </c>
      <c r="AC391" s="13" t="s">
        <v>51</v>
      </c>
      <c r="AD391" s="13" t="s">
        <v>2602</v>
      </c>
      <c r="AE391" s="97" t="str">
        <v>EQ-0386</v>
      </c>
      <c r="AF391" s="98" t="str">
        <v>electronic door lock</v>
      </c>
      <c r="AG391" s="98" t="str">
        <v>CONDITIONAL_MATCH</v>
      </c>
      <c r="AH391" s="98" t="str">
        <v>Match model or supported analogue, operating state, room allocation and all conditions in F. Use D/E only.</v>
      </c>
    </row>
    <row r="392">
      <c r="A392" s="1" t="s">
        <v>2581</v>
      </c>
      <c r="B392" s="1" t="s">
        <v>2608</v>
      </c>
      <c r="C392" s="13" t="s">
        <v>87</v>
      </c>
      <c r="D392" s="14">
        <v>5.0</v>
      </c>
      <c r="E392" s="14">
        <v>0.0</v>
      </c>
      <c r="F392" s="13" t="s">
        <v>2609</v>
      </c>
      <c r="G392" s="18">
        <v>5.0</v>
      </c>
      <c r="H392" s="19">
        <f t="shared" si="37"/>
        <v>0.005</v>
      </c>
      <c r="I392" s="1" t="s">
        <v>2610</v>
      </c>
      <c r="J392" s="1" t="s">
        <v>2611</v>
      </c>
      <c r="K392" s="1" t="s">
        <v>2612</v>
      </c>
      <c r="L392" s="11" t="s">
        <v>2613</v>
      </c>
      <c r="M392" s="1" t="s">
        <v>459</v>
      </c>
      <c r="N392" s="1" t="s">
        <v>582</v>
      </c>
      <c r="O392" s="1">
        <v>5.0</v>
      </c>
      <c r="P392" s="1">
        <v>5.0</v>
      </c>
      <c r="Q392" s="1">
        <v>0.0</v>
      </c>
      <c r="R392" s="1" t="s">
        <v>2588</v>
      </c>
      <c r="S392" s="1" t="s">
        <v>2614</v>
      </c>
      <c r="T392" s="1" t="s">
        <v>2610</v>
      </c>
      <c r="U392" s="1" t="s">
        <v>461</v>
      </c>
      <c r="V392" s="1" t="s">
        <v>46</v>
      </c>
      <c r="W392" s="1" t="s">
        <v>47</v>
      </c>
      <c r="X392" s="1" t="s">
        <v>48</v>
      </c>
      <c r="Y392" s="1" t="s">
        <v>49</v>
      </c>
      <c r="Z392" s="1" t="s">
        <v>50</v>
      </c>
      <c r="AA392" s="12">
        <v>5.0</v>
      </c>
      <c r="AB392" s="12">
        <f t="shared" si="2"/>
        <v>0.005</v>
      </c>
      <c r="AC392" s="13" t="s">
        <v>51</v>
      </c>
      <c r="AD392" s="13" t="s">
        <v>2609</v>
      </c>
      <c r="AE392" s="97" t="str">
        <v>EQ-0387</v>
      </c>
      <c r="AF392" s="98" t="str">
        <v>guest-room control panel</v>
      </c>
      <c r="AG392" s="98" t="str">
        <v>CONDITIONAL_MATCH</v>
      </c>
      <c r="AH392" s="98" t="str">
        <v>Match model or supported analogue, operating state, room allocation and all conditions in F. Use D/E only.</v>
      </c>
    </row>
    <row r="393">
      <c r="A393" s="1" t="s">
        <v>2581</v>
      </c>
      <c r="B393" s="1" t="s">
        <v>2615</v>
      </c>
      <c r="C393" s="13" t="s">
        <v>129</v>
      </c>
      <c r="D393" s="14">
        <v>90.0</v>
      </c>
      <c r="E393" s="14">
        <v>0.0</v>
      </c>
      <c r="F393" s="13" t="s">
        <v>2616</v>
      </c>
      <c r="G393" s="18">
        <v>90.0</v>
      </c>
      <c r="H393" s="19">
        <f t="shared" si="37"/>
        <v>0.09</v>
      </c>
      <c r="I393" s="1" t="s">
        <v>2617</v>
      </c>
      <c r="J393" s="1" t="s">
        <v>2618</v>
      </c>
      <c r="K393" s="1" t="s">
        <v>2619</v>
      </c>
      <c r="L393" s="11" t="s">
        <v>2620</v>
      </c>
      <c r="M393" s="1" t="s">
        <v>459</v>
      </c>
      <c r="N393" s="1" t="s">
        <v>42</v>
      </c>
      <c r="O393" s="1">
        <v>90.0</v>
      </c>
      <c r="P393" s="1">
        <v>90.0</v>
      </c>
      <c r="Q393" s="1">
        <v>0.0</v>
      </c>
      <c r="R393" s="1" t="s">
        <v>2588</v>
      </c>
      <c r="S393" s="1" t="s">
        <v>2621</v>
      </c>
      <c r="T393" s="1" t="s">
        <v>2617</v>
      </c>
      <c r="U393" s="1" t="s">
        <v>461</v>
      </c>
      <c r="V393" s="1" t="s">
        <v>46</v>
      </c>
      <c r="W393" s="1" t="s">
        <v>47</v>
      </c>
      <c r="X393" s="1" t="s">
        <v>1202</v>
      </c>
      <c r="Y393" s="1" t="s">
        <v>1203</v>
      </c>
      <c r="Z393" s="1" t="s">
        <v>50</v>
      </c>
      <c r="AA393" s="12">
        <v>90.0</v>
      </c>
      <c r="AB393" s="12">
        <f t="shared" si="2"/>
        <v>0.09</v>
      </c>
      <c r="AC393" s="13" t="s">
        <v>51</v>
      </c>
      <c r="AD393" s="13" t="s">
        <v>2616</v>
      </c>
      <c r="AE393" s="97" t="str">
        <v>EQ-0388</v>
      </c>
      <c r="AF393" s="98" t="str">
        <v>motorised curtain system</v>
      </c>
      <c r="AG393" s="98" t="str">
        <v>CONDITIONAL_MATCH</v>
      </c>
      <c r="AH393" s="98" t="str">
        <v>Match model or supported analogue, operating state, room allocation and all conditions in F. Use D/E only.</v>
      </c>
    </row>
    <row r="394">
      <c r="A394" s="1" t="s">
        <v>2581</v>
      </c>
      <c r="B394" s="1" t="s">
        <v>2622</v>
      </c>
      <c r="C394" s="13" t="s">
        <v>442</v>
      </c>
      <c r="D394" s="14" t="s">
        <v>67</v>
      </c>
      <c r="E394" s="14" t="s">
        <v>67</v>
      </c>
      <c r="F394" s="7" t="inlineStr">
        <is>
          <t>Further research required if this item is used in the project. NUMERIC EXAMPLE: 55 W (0.055 kW); EXISTING REFERENCE — scope/state limits apply. TO COMPLETE: Straightener setting and actual duty; hair moisture evaporation and where heated hair/appliance cool. Conditional eventual heat when appliance/hair remain in room; thermostat and short use reduce hourly average. Any moisture split unquantified. D/E remain unknown; use documented project inputs in Room worksheet I:M once resolved.</t>
        </is>
      </c>
      <c r="G394" s="18">
        <v>55.0</v>
      </c>
      <c r="H394" s="19">
        <f t="shared" si="37"/>
        <v>0.055</v>
      </c>
      <c r="I394" s="1" t="s">
        <v>2624</v>
      </c>
      <c r="J394" s="1" t="s">
        <v>2625</v>
      </c>
      <c r="K394" s="1" t="s">
        <v>2626</v>
      </c>
      <c r="L394" s="11" t="s">
        <v>2627</v>
      </c>
      <c r="M394" s="1" t="s">
        <v>459</v>
      </c>
      <c r="N394" s="1" t="s">
        <v>42</v>
      </c>
      <c r="O394" s="1">
        <v>55.0</v>
      </c>
      <c r="P394" s="1" t="s">
        <v>486</v>
      </c>
      <c r="Q394" s="1" t="s">
        <v>486</v>
      </c>
      <c r="R394" s="1" t="s">
        <v>2588</v>
      </c>
      <c r="S394" s="1" t="s">
        <v>2628</v>
      </c>
      <c r="T394" s="1" t="s">
        <v>2624</v>
      </c>
      <c r="U394" s="1" t="s">
        <v>1451</v>
      </c>
      <c r="V394" s="1" t="s">
        <v>200</v>
      </c>
      <c r="W394" s="1" t="s">
        <v>2629</v>
      </c>
      <c r="X394" s="1" t="s">
        <v>48</v>
      </c>
      <c r="Y394" s="1" t="s">
        <v>49</v>
      </c>
      <c r="Z394" s="1" t="s">
        <v>50</v>
      </c>
      <c r="AA394" s="16">
        <v>55.0</v>
      </c>
      <c r="AB394" s="16">
        <f t="shared" si="2"/>
        <v>0.055</v>
      </c>
      <c r="AC394" s="17" t="s">
        <v>201</v>
      </c>
      <c r="AD394" s="17" t="inlineStr">
        <is>
          <t>Further research required if this item is used in the project. Published electrical consumption Conditional eventual heat when appliance/hair remain in room; thermostat and short use reduce hourly average. Any moisture split unquantified. This retains the original reference, including any unresolved source limitations; it is not newly validated net room heat. REQUIRED: Straightener setting and actual duty; hair moisture evaporation and where heated hair/appliance cool.</t>
        </is>
      </c>
      <c r="AE394" s="97" t="str">
        <v>EQ-0389</v>
      </c>
      <c r="AF394" s="98" t="str">
        <v>hair straightener</v>
      </c>
      <c r="AG394" s="98" t="str">
        <v>REFERENCE_ONLY</v>
      </c>
      <c r="AH394" s="98" t="str">
        <v>Do not auto-use reference wattage. Resolve the missing heat data or document a project estimate.</v>
      </c>
    </row>
    <row r="395">
      <c r="A395" s="1" t="s">
        <v>2581</v>
      </c>
      <c r="B395" s="1" t="s">
        <v>2631</v>
      </c>
      <c r="C395" s="13" t="s">
        <v>243</v>
      </c>
      <c r="D395" s="14" t="s">
        <v>67</v>
      </c>
      <c r="E395" s="14" t="s">
        <v>67</v>
      </c>
      <c r="F395" s="7" t="inlineStr">
        <is>
          <t>Further research required if this item is used in the project. NUMERIC EXAMPLE: 0.04 W (0.00004 kW); EXISTING REFERENCE — scope/state limits apply. TO COMPLETE: Actual adapter/dock/shaver combination; charging-stage and standby losses with battery state. Published standby input 0.04 W, approximated as local heat. Not the 9 W maximum charging input. Supplied product excludes mains adapter; separately include adapter losses where applicable. Not a usual active-charging allowance. D/E remain unknown; use documented project inputs in Room worksheet I:M once resolved.</t>
        </is>
      </c>
      <c r="G395" s="18">
        <v>0.04</v>
      </c>
      <c r="H395" s="19">
        <f t="shared" si="37"/>
        <v>0.00004</v>
      </c>
      <c r="I395" s="1" t="s">
        <v>2633</v>
      </c>
      <c r="J395" s="1" t="s">
        <v>2634</v>
      </c>
      <c r="K395" s="1" t="s">
        <v>2635</v>
      </c>
      <c r="L395" s="11" t="s">
        <v>2636</v>
      </c>
      <c r="M395" s="1" t="s">
        <v>1302</v>
      </c>
      <c r="N395" s="1" t="s">
        <v>42</v>
      </c>
      <c r="O395" s="1">
        <v>0.04</v>
      </c>
      <c r="P395" s="1">
        <v>0.04</v>
      </c>
      <c r="Q395" s="1">
        <v>0.0</v>
      </c>
      <c r="R395" s="1" t="s">
        <v>2588</v>
      </c>
      <c r="S395" s="1" t="s">
        <v>2637</v>
      </c>
      <c r="T395" s="1" t="s">
        <v>2633</v>
      </c>
      <c r="U395" s="1" t="s">
        <v>1551</v>
      </c>
      <c r="V395" s="1" t="s">
        <v>200</v>
      </c>
      <c r="W395" s="1" t="s">
        <v>2638</v>
      </c>
      <c r="X395" s="1" t="s">
        <v>398</v>
      </c>
      <c r="Y395" s="1" t="s">
        <v>399</v>
      </c>
      <c r="Z395" s="1" t="s">
        <v>50</v>
      </c>
      <c r="AA395" s="16">
        <v>0.04</v>
      </c>
      <c r="AB395" s="16">
        <f t="shared" si="2"/>
        <v>0.00004</v>
      </c>
      <c r="AC395" s="17" t="s">
        <v>201</v>
      </c>
      <c r="AD395" s="17" t="inlineStr">
        <is>
          <t>Further research required if this item is used in the project. Standby only — active charging heat not represented Published standby input 0.04 W, approximated as local heat. Not the 9 W maximum charging input. Supplied product excludes mains adapter; separately include adapter losses where applicable. Not a usual active-charging allowance. This retains the original reference, including any unresolved source limitations; it is not newly validated net room heat. REQUIRED: Actual adapter/dock/shaver combination; charging-stage and standby losses with battery state.</t>
        </is>
      </c>
      <c r="AE395" s="97" t="str">
        <v>EQ-0390</v>
      </c>
      <c r="AF395" s="98" t="str">
        <v>electric shaver charging dock</v>
      </c>
      <c r="AG395" s="98" t="str">
        <v>REFERENCE_ONLY</v>
      </c>
      <c r="AH395" s="98" t="str">
        <v>Do not auto-use reference wattage. Resolve the missing heat data or document a project estimate.</v>
      </c>
    </row>
    <row r="396">
      <c r="A396" s="1" t="s">
        <v>2581</v>
      </c>
      <c r="B396" s="1" t="s">
        <v>2640</v>
      </c>
      <c r="C396" s="13" t="s">
        <v>194</v>
      </c>
      <c r="D396" s="14" t="s">
        <v>67</v>
      </c>
      <c r="E396" s="14" t="s">
        <v>67</v>
      </c>
      <c r="F396" s="7" t="inlineStr">
        <is>
          <t>Further research required if this item is used in the project. NUMERIC EXAMPLE: 890.9 W (0.8909 kW); EXISTING REFERENCE — scope/state limits apply. TO COMPLETE: Actual dispenser model and production duty; condenser location and ice/water/drain balance. 3040 BTU/h ×0.293071; model-specific total rejection. D/E remain unknown; use documented project inputs in Room worksheet I:M once resolved.</t>
        </is>
      </c>
      <c r="G396" s="18">
        <v>890.9</v>
      </c>
      <c r="H396" s="19">
        <f t="shared" si="37"/>
        <v>0.8909</v>
      </c>
      <c r="I396" s="1" t="s">
        <v>1027</v>
      </c>
      <c r="J396" s="1" t="s">
        <v>2642</v>
      </c>
      <c r="K396" s="1" t="s">
        <v>2643</v>
      </c>
      <c r="L396" s="11" t="s">
        <v>1030</v>
      </c>
      <c r="M396" s="1" t="s">
        <v>524</v>
      </c>
      <c r="N396" s="1" t="s">
        <v>42</v>
      </c>
      <c r="O396" s="1" t="s">
        <v>606</v>
      </c>
      <c r="P396" s="1" t="s">
        <v>68</v>
      </c>
      <c r="Q396" s="1" t="s">
        <v>68</v>
      </c>
      <c r="R396" s="1" t="s">
        <v>2588</v>
      </c>
      <c r="S396" s="1" t="s">
        <v>2644</v>
      </c>
      <c r="T396" s="1" t="s">
        <v>1027</v>
      </c>
      <c r="U396" s="1" t="s">
        <v>993</v>
      </c>
      <c r="V396" s="1" t="s">
        <v>200</v>
      </c>
      <c r="W396" s="1" t="s">
        <v>2645</v>
      </c>
      <c r="X396" s="1" t="s">
        <v>48</v>
      </c>
      <c r="Y396" s="1" t="s">
        <v>49</v>
      </c>
      <c r="Z396" s="1" t="s">
        <v>50</v>
      </c>
      <c r="AA396" s="16">
        <v>890.9</v>
      </c>
      <c r="AB396" s="16">
        <f t="shared" si="2"/>
        <v>0.8909</v>
      </c>
      <c r="AC396" s="17" t="s">
        <v>201</v>
      </c>
      <c r="AD396" s="17" t="inlineStr">
        <is>
          <t>Further research required if this item is used in the project. 32.2°C air / 21.1°C water; historical model 3040 BTU/h ×0.293071; model-specific total rejection. This retains the original reference, including any unresolved source limitations; it is not newly validated net room heat. REQUIRED: Actual dispenser model and production duty; condenser location and ice/water/drain balance.</t>
        </is>
      </c>
      <c r="AE396" s="97" t="str">
        <v>EQ-0391</v>
      </c>
      <c r="AF396" s="98" t="str">
        <v>commercial ice dispenser</v>
      </c>
      <c r="AG396" s="98" t="str">
        <v>REFERENCE_ONLY</v>
      </c>
      <c r="AH396" s="98" t="str">
        <v>Do not auto-use reference wattage. Resolve the missing heat data or document a project estimate.</v>
      </c>
    </row>
    <row r="397">
      <c r="A397" s="1" t="s">
        <v>2581</v>
      </c>
      <c r="B397" s="1" t="s">
        <v>2647</v>
      </c>
      <c r="C397" s="13" t="s">
        <v>442</v>
      </c>
      <c r="D397" s="14" t="s">
        <v>67</v>
      </c>
      <c r="E397" s="14" t="s">
        <v>67</v>
      </c>
      <c r="F397" s="7" t="inlineStr">
        <is>
          <t>Further research required if this item is used in the project. NUMERIC EXAMPLE: 1250 W (1.25 kW); EXISTING REFERENCE — scope/state limits apply. TO COMPLETE: Irone​r cycle and linen moisture throughput; exhaust arrangement; manufacturer room sensible/latent split. 4.50 MJ/h / 3.6 = 1.25 kW into room. Manufacturer total connected load 5.00 kW; heater 4.50 kW. Replaces earlier HM16-83 electrical-only example. Do not generalise to all ironers; linen moisture, extraction and cycle must be selected. D/E remain unknown; use documented project inputs in Room worksheet I:M once resolved.</t>
        </is>
      </c>
      <c r="G397" s="18">
        <v>1250.0</v>
      </c>
      <c r="H397" s="19">
        <f t="shared" si="37"/>
        <v>1.25</v>
      </c>
      <c r="I397" s="1" t="s">
        <v>2649</v>
      </c>
      <c r="J397" s="1" t="s">
        <v>2650</v>
      </c>
      <c r="K397" s="1" t="s">
        <v>2651</v>
      </c>
      <c r="L397" s="11" t="s">
        <v>2652</v>
      </c>
      <c r="M397" s="1" t="s">
        <v>1302</v>
      </c>
      <c r="N397" s="1" t="s">
        <v>42</v>
      </c>
      <c r="O397" s="1">
        <v>5000.0</v>
      </c>
      <c r="P397" s="1" t="s">
        <v>2653</v>
      </c>
      <c r="Q397" s="1" t="s">
        <v>2654</v>
      </c>
      <c r="R397" s="1" t="s">
        <v>2588</v>
      </c>
      <c r="S397" s="1" t="s">
        <v>2655</v>
      </c>
      <c r="T397" s="1" t="s">
        <v>2649</v>
      </c>
      <c r="U397" s="1" t="s">
        <v>1551</v>
      </c>
      <c r="V397" s="1" t="s">
        <v>200</v>
      </c>
      <c r="W397" s="1" t="s">
        <v>2656</v>
      </c>
      <c r="X397" s="1" t="s">
        <v>903</v>
      </c>
      <c r="Y397" s="1" t="s">
        <v>904</v>
      </c>
      <c r="Z397" s="1" t="s">
        <v>50</v>
      </c>
      <c r="AA397" s="16">
        <v>1250.0</v>
      </c>
      <c r="AB397" s="16">
        <f t="shared" si="2"/>
        <v>1.25</v>
      </c>
      <c r="AC397" s="17" t="s">
        <v>201</v>
      </c>
      <c r="AD397" s="17" t="inlineStr">
        <is>
          <t>Further research required if this item is used in the project. Published room dissipation, 400 V 50–60 Hz marine variant example 4.50 MJ/h / 3.6 = 1.25 kW into room. Manufacturer total connected load 5.00 kW; heater 4.50 kW. Replaces earlier HM16-83 electrical-only example. Do not generalise to all ironers; linen moisture, extraction and cycle must be selected. This retains the original reference, including any unresolved source limitations; it is not newly validated net room heat. REQUIRED: Irone​r cycle and linen moisture throughput; exhaust arrangement; manufacturer room sensible/latent split.</t>
        </is>
      </c>
      <c r="AE397" s="97" t="str">
        <v>EQ-0392</v>
      </c>
      <c r="AF397" s="98" t="str">
        <v>hotel laundry ironer</v>
      </c>
      <c r="AG397" s="98" t="str">
        <v>REFERENCE_ONLY</v>
      </c>
      <c r="AH397" s="98" t="str">
        <v>Do not auto-use reference wattage. Resolve the missing heat data or document a project estimate.</v>
      </c>
    </row>
    <row r="398">
      <c r="A398" s="1" t="s">
        <v>2581</v>
      </c>
      <c r="B398" s="1" t="s">
        <v>2658</v>
      </c>
      <c r="C398" s="13" t="s">
        <v>479</v>
      </c>
      <c r="D398" s="14" t="s">
        <v>67</v>
      </c>
      <c r="E398" s="14" t="s">
        <v>67</v>
      </c>
      <c r="F398" s="7" t="inlineStr">
        <is>
          <t>Further research required if this item is used in the project. USER-REQUESTED HYPOTHETICAL EXAMPLE: 500 W (0.5 kW). Illustrative linen folder: assumed 500 W net local motor/control dissipation averaged over selected throughput; externally supplied compressed-air heat not included. Assumed for illustration, not sourced or project-approved. Sensible/latent split unverified. TO COMPLETE: Folder modules, motor/compressed-air loads and throughput; local real input and work/heat destination. Need folder configuration, motors, compressed-air supply and throughput; voltage alone is not watts. Reference link is supporting method/product context only; no numeric room-heat value established. D/E remain unknown; use documented project inputs in Room worksheet I:M once resolved.</t>
        </is>
      </c>
      <c r="G398" s="18" t="s">
        <v>616</v>
      </c>
      <c r="H398" s="19" t="s">
        <v>616</v>
      </c>
      <c r="I398" s="1" t="s">
        <v>617</v>
      </c>
      <c r="J398" s="1" t="s">
        <v>2660</v>
      </c>
      <c r="K398" s="1" t="s">
        <v>2661</v>
      </c>
      <c r="L398" s="11" t="s">
        <v>58</v>
      </c>
      <c r="M398" s="1" t="s">
        <v>621</v>
      </c>
      <c r="N398" s="1" t="s">
        <v>42</v>
      </c>
      <c r="O398" s="1" t="s">
        <v>606</v>
      </c>
      <c r="P398" s="1" t="s">
        <v>486</v>
      </c>
      <c r="Q398" s="1" t="s">
        <v>486</v>
      </c>
      <c r="R398" s="1" t="s">
        <v>2588</v>
      </c>
      <c r="S398" s="1" t="s">
        <v>2662</v>
      </c>
      <c r="T398" s="1" t="s">
        <v>617</v>
      </c>
      <c r="U398" s="1" t="s">
        <v>1698</v>
      </c>
      <c r="V398" s="1" t="s">
        <v>200</v>
      </c>
      <c r="W398" s="1" t="s">
        <v>2663</v>
      </c>
      <c r="X398" s="1" t="s">
        <v>1202</v>
      </c>
      <c r="Y398" s="1" t="s">
        <v>1203</v>
      </c>
      <c r="Z398" s="1" t="s">
        <v>50</v>
      </c>
      <c r="AA398" s="16">
        <v>500.0</v>
      </c>
      <c r="AB398" s="16">
        <f t="shared" si="2"/>
        <v>0.5</v>
      </c>
      <c r="AC398" s="17" t="s">
        <v>623</v>
      </c>
      <c r="AD398" s="17" t="inlineStr">
        <is>
          <t>Further research required if this item is used in the project. Illustrative linen folder: assumed 500 W net local motor/control dissipation averaged over selected throughput; externally supplied compressed-air heat not included. REQUIRED: Folder modules, motor/compressed-air loads and throughput; local real input and work/heat destination.</t>
        </is>
      </c>
      <c r="AE398" s="97" t="str">
        <v>EQ-0393</v>
      </c>
      <c r="AF398" s="98" t="str">
        <v>commercial linen folder</v>
      </c>
      <c r="AG398" s="98" t="str">
        <v>REFERENCE_ONLY</v>
      </c>
      <c r="AH398" s="98" t="str">
        <v>Do not auto-use reference wattage. Resolve the missing heat data or document a project estimate.</v>
      </c>
    </row>
    <row r="399">
      <c r="A399" s="1" t="s">
        <v>2581</v>
      </c>
      <c r="B399" s="1" t="s">
        <v>2665</v>
      </c>
      <c r="C399" s="13" t="s">
        <v>87</v>
      </c>
      <c r="D399" s="14">
        <v>953.0</v>
      </c>
      <c r="E399" s="14">
        <v>0.0</v>
      </c>
      <c r="F399" s="13" t="s">
        <v>2666</v>
      </c>
      <c r="G399" s="18">
        <v>953.0</v>
      </c>
      <c r="H399" s="19">
        <f t="shared" ref="H399:H401" si="38">G399/1000</f>
        <v>0.953</v>
      </c>
      <c r="I399" s="1" t="s">
        <v>2667</v>
      </c>
      <c r="J399" s="1" t="s">
        <v>2668</v>
      </c>
      <c r="K399" s="1" t="s">
        <v>2669</v>
      </c>
      <c r="L399" s="11" t="s">
        <v>2670</v>
      </c>
      <c r="M399" s="1" t="s">
        <v>459</v>
      </c>
      <c r="N399" s="1" t="s">
        <v>42</v>
      </c>
      <c r="O399" s="1">
        <v>953.0</v>
      </c>
      <c r="P399" s="1">
        <v>953.0</v>
      </c>
      <c r="Q399" s="1">
        <v>0.0</v>
      </c>
      <c r="R399" s="1" t="s">
        <v>2588</v>
      </c>
      <c r="S399" s="1" t="s">
        <v>2671</v>
      </c>
      <c r="T399" s="1" t="s">
        <v>2667</v>
      </c>
      <c r="U399" s="1" t="s">
        <v>676</v>
      </c>
      <c r="V399" s="1" t="s">
        <v>46</v>
      </c>
      <c r="W399" s="1" t="s">
        <v>47</v>
      </c>
      <c r="X399" s="1" t="s">
        <v>1202</v>
      </c>
      <c r="Y399" s="1" t="s">
        <v>1203</v>
      </c>
      <c r="Z399" s="1" t="s">
        <v>50</v>
      </c>
      <c r="AA399" s="12">
        <v>953.0</v>
      </c>
      <c r="AB399" s="12">
        <f t="shared" si="2"/>
        <v>0.953</v>
      </c>
      <c r="AC399" s="13" t="s">
        <v>51</v>
      </c>
      <c r="AD399" s="13" t="s">
        <v>2666</v>
      </c>
      <c r="AE399" s="97" t="str">
        <v>EQ-0394</v>
      </c>
      <c r="AF399" s="98" t="str">
        <v>electric luggage conveyor</v>
      </c>
      <c r="AG399" s="98" t="str">
        <v>CONDITIONAL_MATCH</v>
      </c>
      <c r="AH399" s="98" t="str">
        <v>Match model or supported analogue, operating state, room allocation and all conditions in F. Use D/E only.</v>
      </c>
    </row>
    <row r="400">
      <c r="A400" s="1" t="s">
        <v>2581</v>
      </c>
      <c r="B400" s="1" t="s">
        <v>2672</v>
      </c>
      <c r="C400" s="13" t="s">
        <v>442</v>
      </c>
      <c r="D400" s="14" t="s">
        <v>67</v>
      </c>
      <c r="E400" s="14" t="s">
        <v>67</v>
      </c>
      <c r="F400" s="7" t="inlineStr">
        <is>
          <t>Further research required if this item is used in the project. NUMERIC EXAMPLE: 65.42 W (0.06542 kW); EXISTING REFERENCE — scope/state limits apply. TO COMPLETE: Confirm idle versus vending duty, tank/vent moisture and drink export; sensible/latent split of reported idle energy. Manufacturer idle energy 1570 Wh/24 h ÷ 24 = 65.42 W. Approximate total room heat over steady idle operation with no drinks or hot water exported and no external exhaust. Not peak or active vending heat; warm-up, drinks, evaporation and any milk cooler require separate treatment. Sensible/latent split unreported. D/E remain unknown; use documented project inputs in Room worksheet I:M once resolved.</t>
        </is>
      </c>
      <c r="G400" s="18">
        <v>65.42</v>
      </c>
      <c r="H400" s="19">
        <f t="shared" si="38"/>
        <v>0.06542</v>
      </c>
      <c r="I400" s="1" t="s">
        <v>2674</v>
      </c>
      <c r="J400" s="1" t="s">
        <v>2675</v>
      </c>
      <c r="K400" s="1" t="s">
        <v>2676</v>
      </c>
      <c r="L400" s="11" t="s">
        <v>2677</v>
      </c>
      <c r="M400" s="1" t="s">
        <v>1302</v>
      </c>
      <c r="N400" s="1" t="s">
        <v>42</v>
      </c>
      <c r="O400" s="1">
        <v>65.42</v>
      </c>
      <c r="P400" s="1" t="s">
        <v>2678</v>
      </c>
      <c r="Q400" s="1" t="s">
        <v>2678</v>
      </c>
      <c r="R400" s="1" t="s">
        <v>2588</v>
      </c>
      <c r="S400" s="1" t="s">
        <v>2679</v>
      </c>
      <c r="T400" s="1" t="s">
        <v>2674</v>
      </c>
      <c r="U400" s="1" t="s">
        <v>1304</v>
      </c>
      <c r="V400" s="1" t="s">
        <v>200</v>
      </c>
      <c r="W400" s="1" t="s">
        <v>2680</v>
      </c>
      <c r="X400" s="1" t="s">
        <v>48</v>
      </c>
      <c r="Y400" s="1" t="s">
        <v>49</v>
      </c>
      <c r="Z400" s="1" t="s">
        <v>50</v>
      </c>
      <c r="AA400" s="16">
        <v>65.42</v>
      </c>
      <c r="AB400" s="16">
        <f t="shared" si="2"/>
        <v>0.06542</v>
      </c>
      <c r="AC400" s="17" t="s">
        <v>201</v>
      </c>
      <c r="AD400" s="17" t="inlineStr">
        <is>
          <t>Further research required if this item is used in the project. Idle average heat estimate from published daily energy Manufacturer idle energy 1570 Wh/24 h ÷ 24 = 65.42 W. Approximate total room heat over steady idle operation with no drinks or hot water exported and no external exhaust. Not peak or active vending heat; warm-up, drinks, evaporation and any milk cooler require separate treatment. Sensible/latent split unreported. This retains the original reference, including any unresolved source limitations; it is not newly validated net room heat. REQUIRED: Confirm idle versus vending duty, tank/vent moisture and drink export; sensible/latent split of reported idle energy.</t>
        </is>
      </c>
      <c r="AE400" s="97" t="str">
        <v>EQ-0395</v>
      </c>
      <c r="AF400" s="98" t="str">
        <v>commercial coffee vending machine</v>
      </c>
      <c r="AG400" s="98" t="str">
        <v>REFERENCE_ONLY</v>
      </c>
      <c r="AH400" s="98" t="str">
        <v>Do not auto-use reference wattage. Resolve the missing heat data or document a project estimate.</v>
      </c>
    </row>
    <row r="401">
      <c r="A401" s="1" t="s">
        <v>2682</v>
      </c>
      <c r="B401" s="1" t="s">
        <v>2683</v>
      </c>
      <c r="C401" s="13" t="s">
        <v>243</v>
      </c>
      <c r="D401" s="14" t="s">
        <v>67</v>
      </c>
      <c r="E401" s="14" t="s">
        <v>67</v>
      </c>
      <c r="F401" s="7" t="inlineStr">
        <is>
          <t>Further research required if this item is used in the project. NUMERIC EXAMPLE: 48 W (0.048 kW); EXISTING REFERENCE — scope/state limits apply. TO COMPLETE: Complete board component list and actual currents; breaker, busbar, meter, supply and auxiliary losses. Schneider manufacturer PEP ENVPEP1409009 / SCHN-2014-082 (10/2014), reproduced on Scribd: A9F74216 2P 16 A C dissipates 4.0 W at 100% load. Illustrative 12 × 4 = 48 W; NOT a complete distribution board. Excludes busbars, main switch, meters, other protection and cooling. Quantity is an explicit example, not typical/installed. D/E remain unknown; use documented project inputs in Room worksheet I:M once resolved.</t>
        </is>
      </c>
      <c r="G401" s="18">
        <v>48.0</v>
      </c>
      <c r="H401" s="19">
        <f t="shared" si="38"/>
        <v>0.048</v>
      </c>
      <c r="I401" s="1" t="s">
        <v>2685</v>
      </c>
      <c r="J401" s="1" t="s">
        <v>2686</v>
      </c>
      <c r="K401" s="1" t="s">
        <v>2687</v>
      </c>
      <c r="L401" s="11" t="s">
        <v>2688</v>
      </c>
      <c r="M401" s="1" t="s">
        <v>1302</v>
      </c>
      <c r="N401" s="1" t="s">
        <v>42</v>
      </c>
      <c r="O401" s="1" t="s">
        <v>606</v>
      </c>
      <c r="P401" s="1">
        <v>48.0</v>
      </c>
      <c r="Q401" s="1">
        <v>0.0</v>
      </c>
      <c r="R401" s="1" t="s">
        <v>2689</v>
      </c>
      <c r="S401" s="1" t="s">
        <v>2690</v>
      </c>
      <c r="T401" s="1" t="s">
        <v>2685</v>
      </c>
      <c r="U401" s="1" t="s">
        <v>1551</v>
      </c>
      <c r="V401" s="1" t="s">
        <v>200</v>
      </c>
      <c r="W401" s="1" t="s">
        <v>2691</v>
      </c>
      <c r="X401" s="1" t="s">
        <v>398</v>
      </c>
      <c r="Y401" s="1" t="s">
        <v>399</v>
      </c>
      <c r="Z401" s="1" t="s">
        <v>50</v>
      </c>
      <c r="AA401" s="16">
        <v>48.0</v>
      </c>
      <c r="AB401" s="16">
        <f t="shared" si="2"/>
        <v>0.048</v>
      </c>
      <c r="AC401" s="17" t="s">
        <v>201</v>
      </c>
      <c r="AD401" s="17" t="inlineStr">
        <is>
          <t>Further research required if this item is used in the project. Breaker-only losses at each breaker’s rated load Schneider manufacturer PEP ENVPEP1409009 / SCHN-2014-082 (10/2014), reproduced on Scribd: A9F74216 2P 16 A C dissipates 4.0 W at 100% load. Illustrative 12 × 4 = 48 W; NOT a complete distribution board. Excludes busbars, main switch, meters, other protection and cooling. Quantity is an explicit example, not typical/installed. This retains the original reference, including any unresolved source limitations; it is not newly validated net room heat. REQUIRED: Complete board component list and actual currents; breaker, busbar, meter, supply and auxiliary losses.</t>
        </is>
      </c>
      <c r="AE401" s="97" t="str">
        <v>EQ-0396</v>
      </c>
      <c r="AF401" s="98" t="str">
        <v>distribution board - internal heat losses</v>
      </c>
      <c r="AG401" s="98" t="str">
        <v>REFERENCE_ONLY</v>
      </c>
      <c r="AH401" s="98" t="str">
        <v>Do not auto-use reference wattage. Resolve the missing heat data or document a project estimate.</v>
      </c>
    </row>
    <row r="402">
      <c r="A402" s="1" t="s">
        <v>2682</v>
      </c>
      <c r="B402" s="1" t="s">
        <v>2693</v>
      </c>
      <c r="C402" s="13" t="s">
        <v>479</v>
      </c>
      <c r="D402" s="14" t="s">
        <v>67</v>
      </c>
      <c r="E402" s="14" t="s">
        <v>67</v>
      </c>
      <c r="F402" s="7" t="inlineStr">
        <is>
          <t>Further research required if this item is used in the project. USER-REQUESTED HYPOTHETICAL EXAMPLE: 500 W (0.5 kW). Illustrative switchboard: assumed 300 W protective-device losses +150 W busbar/cable losses +50 W controls =500 W. Component losses/current profile are hypothetical. Assumed for illustration, not sourced or project-approved. Sensible/latent split unverified. TO COMPLETE: Complete switchboard schedule, actual circuit currents and manufacturer loss data; enclosure cooling destination. Need fitted breakers/busbars, actual currents and loss calculations; switchboard ampere rating is insufficient. Reference link is supporting method/product context only; no numeric room-heat value established. D/E remain unknown; use documented project inputs in Room worksheet I:M once resolved.</t>
        </is>
      </c>
      <c r="G402" s="18" t="s">
        <v>616</v>
      </c>
      <c r="H402" s="19" t="s">
        <v>616</v>
      </c>
      <c r="I402" s="1" t="s">
        <v>617</v>
      </c>
      <c r="J402" s="1" t="s">
        <v>2695</v>
      </c>
      <c r="K402" s="1" t="s">
        <v>2696</v>
      </c>
      <c r="L402" s="11" t="s">
        <v>2697</v>
      </c>
      <c r="M402" s="1" t="s">
        <v>621</v>
      </c>
      <c r="N402" s="1" t="s">
        <v>582</v>
      </c>
      <c r="O402" s="1" t="s">
        <v>606</v>
      </c>
      <c r="P402" s="1" t="s">
        <v>486</v>
      </c>
      <c r="Q402" s="1" t="s">
        <v>486</v>
      </c>
      <c r="R402" s="1" t="s">
        <v>2689</v>
      </c>
      <c r="S402" s="1" t="s">
        <v>2698</v>
      </c>
      <c r="T402" s="1" t="s">
        <v>617</v>
      </c>
      <c r="U402" s="1" t="s">
        <v>1698</v>
      </c>
      <c r="V402" s="1" t="s">
        <v>200</v>
      </c>
      <c r="W402" s="1" t="s">
        <v>2699</v>
      </c>
      <c r="X402" s="1" t="s">
        <v>398</v>
      </c>
      <c r="Y402" s="1" t="s">
        <v>399</v>
      </c>
      <c r="Z402" s="1" t="s">
        <v>50</v>
      </c>
      <c r="AA402" s="16">
        <v>500.0</v>
      </c>
      <c r="AB402" s="16">
        <f t="shared" si="2"/>
        <v>0.5</v>
      </c>
      <c r="AC402" s="17" t="s">
        <v>623</v>
      </c>
      <c r="AD402" s="17" t="inlineStr">
        <is>
          <t>Further research required if this item is used in the project. Illustrative switchboard: assumed 300 W protective-device losses +150 W busbar/cable losses +50 W controls =500 W. Component losses/current profile are hypothetical. REQUIRED: Complete switchboard schedule, actual circuit currents and manufacturer loss data; enclosure cooling destination.</t>
        </is>
      </c>
      <c r="AE402" s="97" t="str">
        <v>EQ-0397</v>
      </c>
      <c r="AF402" s="98" t="str">
        <v>main switchboard - internal heat losses</v>
      </c>
      <c r="AG402" s="98" t="str">
        <v>REFERENCE_ONLY</v>
      </c>
      <c r="AH402" s="98" t="str">
        <v>Do not auto-use reference wattage. Resolve the missing heat data or document a project estimate.</v>
      </c>
    </row>
    <row r="403">
      <c r="A403" s="1" t="s">
        <v>2682</v>
      </c>
      <c r="B403" s="1" t="s">
        <v>2701</v>
      </c>
      <c r="C403" s="13" t="s">
        <v>243</v>
      </c>
      <c r="D403" s="14" t="s">
        <v>67</v>
      </c>
      <c r="E403" s="14" t="s">
        <v>67</v>
      </c>
      <c r="F403" s="7" t="inlineStr">
        <is>
          <t>Further research required if this item is used in the project. NUMERIC EXAMPLE: 192 W (0.192 kW); EXISTING REFERENCE — scope/state limits apply. TO COMPLETE: Actual MCC inventory and drive loading; contactor, busbar and auxiliary losses in addition to selected drives. Explicit example quantity of six drives × published 32 W dissipation = 192 W. Quantity is illustrative, not an installed or typical MCC. Excludes busbars, contactors, other controls, brakes and enclosure cooling. Do not add motor output ratings as cabinet heat. D/E remain unknown; use documented project inputs in Room worksheet I:M once resolved.</t>
        </is>
      </c>
      <c r="G403" s="18">
        <v>192.0</v>
      </c>
      <c r="H403" s="19">
        <f t="shared" ref="H403:H420" si="39">G403/1000</f>
        <v>0.192</v>
      </c>
      <c r="I403" s="1" t="s">
        <v>2703</v>
      </c>
      <c r="J403" s="1" t="s">
        <v>2704</v>
      </c>
      <c r="K403" s="1" t="s">
        <v>2705</v>
      </c>
      <c r="L403" s="11" t="s">
        <v>1540</v>
      </c>
      <c r="M403" s="1" t="s">
        <v>1302</v>
      </c>
      <c r="N403" s="1" t="s">
        <v>582</v>
      </c>
      <c r="O403" s="1" t="s">
        <v>606</v>
      </c>
      <c r="P403" s="1">
        <v>192.0</v>
      </c>
      <c r="Q403" s="1">
        <v>0.0</v>
      </c>
      <c r="R403" s="1" t="s">
        <v>2689</v>
      </c>
      <c r="S403" s="1" t="s">
        <v>2706</v>
      </c>
      <c r="T403" s="1" t="s">
        <v>2703</v>
      </c>
      <c r="U403" s="1" t="s">
        <v>1551</v>
      </c>
      <c r="V403" s="1" t="s">
        <v>200</v>
      </c>
      <c r="W403" s="1" t="s">
        <v>2707</v>
      </c>
      <c r="X403" s="1" t="s">
        <v>1202</v>
      </c>
      <c r="Y403" s="1" t="s">
        <v>1203</v>
      </c>
      <c r="Z403" s="1" t="s">
        <v>50</v>
      </c>
      <c r="AA403" s="16">
        <v>192.0</v>
      </c>
      <c r="AB403" s="16">
        <f t="shared" si="2"/>
        <v>0.192</v>
      </c>
      <c r="AC403" s="17" t="s">
        <v>201</v>
      </c>
      <c r="AD403" s="17" t="inlineStr">
        <is>
          <t>Further research required if this item is used in the project. Drive-loss subtotal at published 380 V, 4 kHz condition Explicit example quantity of six drives × published 32 W dissipation = 192 W. Quantity is illustrative, not an installed or typical MCC. Excludes busbars, contactors, other controls, brakes and enclosure cooling. Do not add motor output ratings as cabinet heat. This retains the original reference, including any unresolved source limitations; it is not newly validated net room heat. REQUIRED: Actual MCC inventory and drive loading; contactor, busbar and auxiliary losses in addition to selected drives.</t>
        </is>
      </c>
      <c r="AE403" s="97" t="str">
        <v>EQ-0398</v>
      </c>
      <c r="AF403" s="98" t="str">
        <v>motor control centre</v>
      </c>
      <c r="AG403" s="98" t="str">
        <v>REFERENCE_ONLY</v>
      </c>
      <c r="AH403" s="98" t="str">
        <v>Do not auto-use reference wattage. Resolve the missing heat data or document a project estimate.</v>
      </c>
    </row>
    <row r="404">
      <c r="A404" s="1" t="s">
        <v>2682</v>
      </c>
      <c r="B404" s="1" t="s">
        <v>2709</v>
      </c>
      <c r="C404" s="13" t="s">
        <v>87</v>
      </c>
      <c r="D404" s="14">
        <v>5090.8</v>
      </c>
      <c r="E404" s="14">
        <v>0.0</v>
      </c>
      <c r="F404" s="13" t="s">
        <v>2710</v>
      </c>
      <c r="G404" s="18">
        <v>5090.8</v>
      </c>
      <c r="H404" s="19">
        <f t="shared" si="39"/>
        <v>5.0908</v>
      </c>
      <c r="I404" s="1" t="s">
        <v>2711</v>
      </c>
      <c r="J404" s="1" t="s">
        <v>2712</v>
      </c>
      <c r="K404" s="1" t="s">
        <v>2713</v>
      </c>
      <c r="L404" s="11" t="s">
        <v>2714</v>
      </c>
      <c r="M404" s="1" t="s">
        <v>459</v>
      </c>
      <c r="N404" s="1" t="s">
        <v>42</v>
      </c>
      <c r="O404" s="1" t="s">
        <v>606</v>
      </c>
      <c r="P404" s="1" t="s">
        <v>486</v>
      </c>
      <c r="Q404" s="1" t="s">
        <v>486</v>
      </c>
      <c r="R404" s="1" t="s">
        <v>2689</v>
      </c>
      <c r="S404" s="1" t="s">
        <v>2715</v>
      </c>
      <c r="T404" s="1" t="s">
        <v>2711</v>
      </c>
      <c r="U404" s="1" t="s">
        <v>1451</v>
      </c>
      <c r="V404" s="1" t="s">
        <v>46</v>
      </c>
      <c r="W404" s="1" t="s">
        <v>47</v>
      </c>
      <c r="X404" s="1" t="s">
        <v>398</v>
      </c>
      <c r="Y404" s="1" t="s">
        <v>399</v>
      </c>
      <c r="Z404" s="1" t="s">
        <v>50</v>
      </c>
      <c r="AA404" s="12">
        <v>5090.8</v>
      </c>
      <c r="AB404" s="12">
        <f t="shared" si="2"/>
        <v>5.0908</v>
      </c>
      <c r="AC404" s="13" t="s">
        <v>51</v>
      </c>
      <c r="AD404" s="13" t="s">
        <v>2710</v>
      </c>
      <c r="AE404" s="97" t="str">
        <v>EQ-0399</v>
      </c>
      <c r="AF404" s="98" t="str">
        <v>power transformer - losses only</v>
      </c>
      <c r="AG404" s="98" t="str">
        <v>CONDITIONAL_MATCH</v>
      </c>
      <c r="AH404" s="98" t="str">
        <v>Match model or supported analogue, operating state, room allocation and all conditions in F. Use D/E only.</v>
      </c>
    </row>
    <row r="405">
      <c r="A405" s="1" t="s">
        <v>2682</v>
      </c>
      <c r="B405" s="1" t="s">
        <v>2716</v>
      </c>
      <c r="C405" s="13" t="s">
        <v>243</v>
      </c>
      <c r="D405" s="14" t="s">
        <v>67</v>
      </c>
      <c r="E405" s="14" t="s">
        <v>67</v>
      </c>
      <c r="F405" s="7" t="inlineStr">
        <is>
          <t>Further research required if this item is used in the project. NUMERIC EXAMPLE: 56 W (0.056 kW); EXISTING REFERENCE — scope/state limits apply. TO COMPLETE: Complete drive-cabinet losses at actual load/switching frequency, including resistors, cooling and supplies. 56 W drive loss at 380 V/4 kHz; incomplete cabinet allowance. Add actual fan, PSU, resistor and other component losses; do not count drive twice. D/E remain unknown; use documented project inputs in Room worksheet I:M once resolved.</t>
        </is>
      </c>
      <c r="G405" s="18">
        <v>56.0</v>
      </c>
      <c r="H405" s="19">
        <f t="shared" si="39"/>
        <v>0.056</v>
      </c>
      <c r="I405" s="1" t="s">
        <v>2718</v>
      </c>
      <c r="J405" s="1" t="s">
        <v>2719</v>
      </c>
      <c r="K405" s="1" t="s">
        <v>2720</v>
      </c>
      <c r="L405" s="11" t="s">
        <v>1584</v>
      </c>
      <c r="M405" s="1" t="s">
        <v>459</v>
      </c>
      <c r="N405" s="1" t="s">
        <v>42</v>
      </c>
      <c r="O405" s="1" t="s">
        <v>606</v>
      </c>
      <c r="P405" s="1" t="s">
        <v>486</v>
      </c>
      <c r="Q405" s="1" t="s">
        <v>486</v>
      </c>
      <c r="R405" s="1" t="s">
        <v>2689</v>
      </c>
      <c r="S405" s="1" t="s">
        <v>2721</v>
      </c>
      <c r="T405" s="1" t="s">
        <v>2718</v>
      </c>
      <c r="U405" s="1" t="s">
        <v>608</v>
      </c>
      <c r="V405" s="1" t="s">
        <v>200</v>
      </c>
      <c r="W405" s="1" t="s">
        <v>2722</v>
      </c>
      <c r="X405" s="1" t="s">
        <v>398</v>
      </c>
      <c r="Y405" s="1" t="s">
        <v>399</v>
      </c>
      <c r="Z405" s="1" t="s">
        <v>50</v>
      </c>
      <c r="AA405" s="16">
        <v>56.0</v>
      </c>
      <c r="AB405" s="16">
        <f t="shared" si="2"/>
        <v>0.056</v>
      </c>
      <c r="AC405" s="17" t="s">
        <v>201</v>
      </c>
      <c r="AD405" s="17" t="inlineStr">
        <is>
          <t>Further research required if this item is used in the project. Single-drive cabinet component example 56 W drive loss at 380 V/4 kHz; incomplete cabinet allowance. Add actual fan, PSU, resistor and other component losses; do not count drive twice. This retains the original reference, including any unresolved source limitations; it is not newly validated net room heat. REQUIRED: Complete drive-cabinet losses at actual load/switching frequency, including resistors, cooling and supplies.</t>
        </is>
      </c>
      <c r="AE405" s="97" t="str">
        <v>EQ-0400</v>
      </c>
      <c r="AF405" s="98" t="str">
        <v>variable-speed drive cabinet</v>
      </c>
      <c r="AG405" s="98" t="str">
        <v>REFERENCE_ONLY</v>
      </c>
      <c r="AH405" s="98" t="str">
        <v>Do not auto-use reference wattage. Resolve the missing heat data or document a project estimate.</v>
      </c>
    </row>
    <row r="406">
      <c r="A406" s="1" t="s">
        <v>2682</v>
      </c>
      <c r="B406" s="1" t="s">
        <v>2724</v>
      </c>
      <c r="C406" s="13" t="s">
        <v>243</v>
      </c>
      <c r="D406" s="14" t="s">
        <v>67</v>
      </c>
      <c r="E406" s="14" t="s">
        <v>67</v>
      </c>
      <c r="F406" s="7" t="inlineStr">
        <is>
          <t>Further research required if this item is used in the project. NUMERIC EXAMPLE: 1 W (0.001 kW); EXISTING REFERENCE — scope/state limits apply. TO COMPLETE: Starter start/bypass duty and whole-cabinet auxiliary losses; do not use 1 W bypass loss during starting. 1 W starter loss; starting transient 31 W. Cabinet auxiliaries not included; operating-state example only. D/E remain unknown; use documented project inputs in Room worksheet I:M once resolved.</t>
        </is>
      </c>
      <c r="G406" s="18">
        <v>1.0</v>
      </c>
      <c r="H406" s="19">
        <f t="shared" si="39"/>
        <v>0.001</v>
      </c>
      <c r="I406" s="1" t="s">
        <v>2726</v>
      </c>
      <c r="J406" s="1" t="s">
        <v>2727</v>
      </c>
      <c r="K406" s="1" t="s">
        <v>2728</v>
      </c>
      <c r="L406" s="11" t="s">
        <v>2729</v>
      </c>
      <c r="M406" s="1" t="s">
        <v>459</v>
      </c>
      <c r="N406" s="1" t="s">
        <v>42</v>
      </c>
      <c r="O406" s="1" t="s">
        <v>606</v>
      </c>
      <c r="P406" s="1" t="s">
        <v>486</v>
      </c>
      <c r="Q406" s="1" t="s">
        <v>486</v>
      </c>
      <c r="R406" s="1" t="s">
        <v>2689</v>
      </c>
      <c r="S406" s="1" t="s">
        <v>2730</v>
      </c>
      <c r="T406" s="1" t="s">
        <v>2726</v>
      </c>
      <c r="U406" s="1" t="s">
        <v>608</v>
      </c>
      <c r="V406" s="1" t="s">
        <v>200</v>
      </c>
      <c r="W406" s="1" t="s">
        <v>2731</v>
      </c>
      <c r="X406" s="1" t="s">
        <v>398</v>
      </c>
      <c r="Y406" s="1" t="s">
        <v>399</v>
      </c>
      <c r="Z406" s="1" t="s">
        <v>50</v>
      </c>
      <c r="AA406" s="16">
        <v>1.0</v>
      </c>
      <c r="AB406" s="16">
        <f t="shared" si="2"/>
        <v>0.001</v>
      </c>
      <c r="AC406" s="17" t="s">
        <v>201</v>
      </c>
      <c r="AD406" s="17" t="inlineStr">
        <is>
          <t>Further research required if this item is used in the project. End of starting/full load with bypass 1 W starter loss; starting transient 31 W. Cabinet auxiliaries not included; operating-state example only. This retains the original reference, including any unresolved source limitations; it is not newly validated net room heat. REQUIRED: Starter start/bypass duty and whole-cabinet auxiliary losses; do not use 1 W bypass loss during starting.</t>
        </is>
      </c>
      <c r="AE406" s="97" t="str">
        <v>EQ-0401</v>
      </c>
      <c r="AF406" s="98" t="str">
        <v>soft starter cabinet</v>
      </c>
      <c r="AG406" s="98" t="str">
        <v>REFERENCE_ONLY</v>
      </c>
      <c r="AH406" s="98" t="str">
        <v>Do not auto-use reference wattage. Resolve the missing heat data or document a project estimate.</v>
      </c>
    </row>
    <row r="407">
      <c r="A407" s="1" t="s">
        <v>2682</v>
      </c>
      <c r="B407" s="1" t="s">
        <v>2733</v>
      </c>
      <c r="C407" s="13" t="s">
        <v>35</v>
      </c>
      <c r="D407" s="14">
        <v>600.0</v>
      </c>
      <c r="E407" s="14">
        <v>0.0</v>
      </c>
      <c r="F407" s="13" t="s">
        <v>2734</v>
      </c>
      <c r="G407" s="18">
        <v>600.0</v>
      </c>
      <c r="H407" s="19">
        <f t="shared" si="39"/>
        <v>0.6</v>
      </c>
      <c r="I407" s="1" t="s">
        <v>2735</v>
      </c>
      <c r="J407" s="1" t="s">
        <v>2736</v>
      </c>
      <c r="K407" s="1" t="s">
        <v>2737</v>
      </c>
      <c r="L407" s="11" t="s">
        <v>2738</v>
      </c>
      <c r="M407" s="1" t="s">
        <v>778</v>
      </c>
      <c r="N407" s="1" t="s">
        <v>42</v>
      </c>
      <c r="O407" s="1" t="s">
        <v>606</v>
      </c>
      <c r="P407" s="1">
        <v>600.0</v>
      </c>
      <c r="Q407" s="1">
        <v>0.0</v>
      </c>
      <c r="R407" s="1" t="s">
        <v>2689</v>
      </c>
      <c r="S407" s="1" t="s">
        <v>2739</v>
      </c>
      <c r="T407" s="1" t="s">
        <v>2735</v>
      </c>
      <c r="U407" s="1" t="s">
        <v>780</v>
      </c>
      <c r="V407" s="1" t="s">
        <v>46</v>
      </c>
      <c r="W407" s="1" t="s">
        <v>47</v>
      </c>
      <c r="X407" s="1" t="s">
        <v>398</v>
      </c>
      <c r="Y407" s="1" t="s">
        <v>399</v>
      </c>
      <c r="Z407" s="1" t="s">
        <v>50</v>
      </c>
      <c r="AA407" s="12">
        <v>600.0</v>
      </c>
      <c r="AB407" s="12">
        <f t="shared" si="2"/>
        <v>0.6</v>
      </c>
      <c r="AC407" s="13" t="s">
        <v>51</v>
      </c>
      <c r="AD407" s="13" t="s">
        <v>2734</v>
      </c>
      <c r="AE407" s="97" t="str">
        <v>EQ-0402</v>
      </c>
      <c r="AF407" s="98" t="str">
        <v>power factor correction capacitor bank</v>
      </c>
      <c r="AG407" s="98" t="str">
        <v>CONDITIONAL_MATCH</v>
      </c>
      <c r="AH407" s="98" t="str">
        <v>Match model or supported analogue, operating state, room allocation and all conditions in F. Use D/E only.</v>
      </c>
    </row>
    <row r="408">
      <c r="A408" s="1" t="s">
        <v>2682</v>
      </c>
      <c r="B408" s="1" t="s">
        <v>2740</v>
      </c>
      <c r="C408" s="13" t="s">
        <v>35</v>
      </c>
      <c r="D408" s="14">
        <v>60.0</v>
      </c>
      <c r="E408" s="14">
        <v>0.0</v>
      </c>
      <c r="F408" s="13" t="s">
        <v>2741</v>
      </c>
      <c r="G408" s="18">
        <v>60.0</v>
      </c>
      <c r="H408" s="19">
        <f t="shared" si="39"/>
        <v>0.06</v>
      </c>
      <c r="I408" s="1" t="s">
        <v>2742</v>
      </c>
      <c r="J408" s="1" t="s">
        <v>2743</v>
      </c>
      <c r="K408" s="1" t="s">
        <v>2744</v>
      </c>
      <c r="L408" s="11" t="s">
        <v>2745</v>
      </c>
      <c r="M408" s="1" t="s">
        <v>459</v>
      </c>
      <c r="N408" s="1" t="s">
        <v>42</v>
      </c>
      <c r="O408" s="1" t="s">
        <v>606</v>
      </c>
      <c r="P408" s="1" t="s">
        <v>486</v>
      </c>
      <c r="Q408" s="1" t="s">
        <v>486</v>
      </c>
      <c r="R408" s="1" t="s">
        <v>2689</v>
      </c>
      <c r="S408" s="1" t="s">
        <v>2746</v>
      </c>
      <c r="T408" s="1" t="s">
        <v>2742</v>
      </c>
      <c r="U408" s="1" t="s">
        <v>1451</v>
      </c>
      <c r="V408" s="1" t="s">
        <v>46</v>
      </c>
      <c r="W408" s="1" t="s">
        <v>47</v>
      </c>
      <c r="X408" s="1" t="s">
        <v>398</v>
      </c>
      <c r="Y408" s="1" t="s">
        <v>399</v>
      </c>
      <c r="Z408" s="1" t="s">
        <v>50</v>
      </c>
      <c r="AA408" s="12">
        <v>60.0</v>
      </c>
      <c r="AB408" s="12">
        <f t="shared" si="2"/>
        <v>0.06</v>
      </c>
      <c r="AC408" s="13" t="s">
        <v>51</v>
      </c>
      <c r="AD408" s="13" t="s">
        <v>2741</v>
      </c>
      <c r="AE408" s="97" t="str">
        <v>EQ-0403</v>
      </c>
      <c r="AF408" s="98" t="str">
        <v>harmonic filter</v>
      </c>
      <c r="AG408" s="98" t="str">
        <v>CONDITIONAL_MATCH</v>
      </c>
      <c r="AH408" s="98" t="str">
        <v>Match model or supported analogue, operating state, room allocation and all conditions in F. Use D/E only.</v>
      </c>
    </row>
    <row r="409">
      <c r="A409" s="1" t="s">
        <v>2682</v>
      </c>
      <c r="B409" s="1" t="s">
        <v>2747</v>
      </c>
      <c r="C409" s="13" t="s">
        <v>243</v>
      </c>
      <c r="D409" s="14" t="s">
        <v>67</v>
      </c>
      <c r="E409" s="14" t="s">
        <v>67</v>
      </c>
      <c r="F409" s="7" t="inlineStr">
        <is>
          <t>Further research required if this item is used in the project. NUMERIC EXAMPLE: 16 W (0.016 kW); EXISTING REFERENCE — scope/state limits apply. TO COMPLETE: Rectifier count/loading and efficiency/loss curves; cabinet auxiliaries and cooling; DC output is exported power. Single 240 W DC supply example, not complete cabinet. 240 W delivered output is not cabinet heat; add actual auxiliaries. D/E remain unknown; use documented project inputs in Room worksheet I:M once resolved.</t>
        </is>
      </c>
      <c r="G409" s="18">
        <v>16.0</v>
      </c>
      <c r="H409" s="19">
        <f t="shared" si="39"/>
        <v>0.016</v>
      </c>
      <c r="I409" s="1" t="s">
        <v>2749</v>
      </c>
      <c r="J409" s="1" t="s">
        <v>2750</v>
      </c>
      <c r="K409" s="1" t="s">
        <v>2751</v>
      </c>
      <c r="L409" s="11" t="s">
        <v>2752</v>
      </c>
      <c r="M409" s="1" t="s">
        <v>459</v>
      </c>
      <c r="N409" s="1" t="s">
        <v>42</v>
      </c>
      <c r="O409" s="1" t="s">
        <v>606</v>
      </c>
      <c r="P409" s="1" t="s">
        <v>486</v>
      </c>
      <c r="Q409" s="1" t="s">
        <v>486</v>
      </c>
      <c r="R409" s="1" t="s">
        <v>2689</v>
      </c>
      <c r="S409" s="1" t="s">
        <v>2753</v>
      </c>
      <c r="T409" s="1" t="s">
        <v>2749</v>
      </c>
      <c r="U409" s="1" t="s">
        <v>608</v>
      </c>
      <c r="V409" s="1" t="s">
        <v>200</v>
      </c>
      <c r="W409" s="1" t="s">
        <v>2754</v>
      </c>
      <c r="X409" s="1" t="s">
        <v>398</v>
      </c>
      <c r="Y409" s="1" t="s">
        <v>399</v>
      </c>
      <c r="Z409" s="1" t="s">
        <v>50</v>
      </c>
      <c r="AA409" s="16">
        <v>16.0</v>
      </c>
      <c r="AB409" s="16">
        <f t="shared" si="2"/>
        <v>0.016</v>
      </c>
      <c r="AC409" s="17" t="s">
        <v>201</v>
      </c>
      <c r="AD409" s="17" t="inlineStr">
        <is>
          <t>Further research required if this item is used in the project. Upper nominal-load loss bound at 230 VAC (&lt;16 W) Single 240 W DC supply example, not complete cabinet. 240 W delivered output is not cabinet heat; add actual auxiliaries. This retains the original reference, including any unresolved source limitations; it is not newly validated net room heat. REQUIRED: Rectifier count/loading and efficiency/loss curves; cabinet auxiliaries and cooling; DC output is exported power.</t>
        </is>
      </c>
      <c r="AE409" s="97" t="str">
        <v>EQ-0404</v>
      </c>
      <c r="AF409" s="98" t="str">
        <v>rectifier cabinet</v>
      </c>
      <c r="AG409" s="98" t="str">
        <v>REFERENCE_ONLY</v>
      </c>
      <c r="AH409" s="98" t="str">
        <v>Do not auto-use reference wattage. Resolve the missing heat data or document a project estimate.</v>
      </c>
    </row>
    <row r="410">
      <c r="A410" s="1" t="s">
        <v>2682</v>
      </c>
      <c r="B410" s="1" t="s">
        <v>2756</v>
      </c>
      <c r="C410" s="13" t="s">
        <v>243</v>
      </c>
      <c r="D410" s="14" t="s">
        <v>67</v>
      </c>
      <c r="E410" s="14" t="s">
        <v>67</v>
      </c>
      <c r="F410" s="7" t="inlineStr">
        <is>
          <t>Further research required if this item is used in the project. NUMERIC EXAMPLE: 16 W (0.016 kW); EXISTING REFERENCE — scope/state limits apply. TO COMPLETE: DC-supply count/loading and losses; cabinet auxiliaries; exclude delivered power to remote loads. Single 240 W DC supply example, not complete cabinet. 240 W delivered output is not cabinet heat; add actual auxiliaries. D/E remain unknown; use documented project inputs in Room worksheet I:M once resolved.</t>
        </is>
      </c>
      <c r="G410" s="18">
        <v>16.0</v>
      </c>
      <c r="H410" s="19">
        <f t="shared" si="39"/>
        <v>0.016</v>
      </c>
      <c r="I410" s="1" t="s">
        <v>2749</v>
      </c>
      <c r="J410" s="1" t="s">
        <v>2750</v>
      </c>
      <c r="K410" s="1" t="s">
        <v>2751</v>
      </c>
      <c r="L410" s="11" t="s">
        <v>2752</v>
      </c>
      <c r="M410" s="1" t="s">
        <v>459</v>
      </c>
      <c r="N410" s="1" t="s">
        <v>42</v>
      </c>
      <c r="O410" s="1" t="s">
        <v>606</v>
      </c>
      <c r="P410" s="1" t="s">
        <v>486</v>
      </c>
      <c r="Q410" s="1" t="s">
        <v>486</v>
      </c>
      <c r="R410" s="1" t="s">
        <v>2689</v>
      </c>
      <c r="S410" s="1" t="s">
        <v>2753</v>
      </c>
      <c r="T410" s="1" t="s">
        <v>2749</v>
      </c>
      <c r="U410" s="1" t="s">
        <v>608</v>
      </c>
      <c r="V410" s="1" t="s">
        <v>200</v>
      </c>
      <c r="W410" s="1" t="s">
        <v>2758</v>
      </c>
      <c r="X410" s="1" t="s">
        <v>398</v>
      </c>
      <c r="Y410" s="1" t="s">
        <v>399</v>
      </c>
      <c r="Z410" s="1" t="s">
        <v>50</v>
      </c>
      <c r="AA410" s="16">
        <v>16.0</v>
      </c>
      <c r="AB410" s="16">
        <f t="shared" si="2"/>
        <v>0.016</v>
      </c>
      <c r="AC410" s="17" t="s">
        <v>201</v>
      </c>
      <c r="AD410" s="17" t="inlineStr">
        <is>
          <t>Further research required if this item is used in the project. Upper nominal-load loss bound at 230 VAC (&lt;16 W) Single 240 W DC supply example, not complete cabinet. 240 W delivered output is not cabinet heat; add actual auxiliaries. This retains the original reference, including any unresolved source limitations; it is not newly validated net room heat. REQUIRED: DC-supply count/loading and losses; cabinet auxiliaries; exclude delivered power to remote loads.</t>
        </is>
      </c>
      <c r="AE410" s="97" t="str">
        <v>EQ-0405</v>
      </c>
      <c r="AF410" s="98" t="str">
        <v>dc power supply cabinet</v>
      </c>
      <c r="AG410" s="98" t="str">
        <v>REFERENCE_ONLY</v>
      </c>
      <c r="AH410" s="98" t="str">
        <v>Do not auto-use reference wattage. Resolve the missing heat data or document a project estimate.</v>
      </c>
    </row>
    <row r="411">
      <c r="A411" s="1" t="s">
        <v>2682</v>
      </c>
      <c r="B411" s="1" t="s">
        <v>2760</v>
      </c>
      <c r="C411" s="13" t="s">
        <v>243</v>
      </c>
      <c r="D411" s="14" t="s">
        <v>67</v>
      </c>
      <c r="E411" s="14" t="s">
        <v>67</v>
      </c>
      <c r="F411" s="7" t="inlineStr">
        <is>
          <t>Further research required if this item is used in the project. NUMERIC EXAMPLE: 15.03 W (0.01503 kW); EXISTING REFERENCE — scope/state limits apply. TO COMPLETE: Charger version and charging stages, battery losses and cabinet auxiliaries; verify load-dependent efficiency. Datasheet 2026-07-06: rated output 30.4 V × 4 A = 121.6 W; typical XLR efficiency 89%. Input = 121.6/0.89 = 136.63 W; local charger loss = 15.03 W. Defined one-charger subtotal, not complete battery system. Excludes battery losses, fans and other cabinet parts. Not all-stage average; TB version efficiency differs. D/E remain unknown; use documented project inputs in Room worksheet I:M once resolved.</t>
        </is>
      </c>
      <c r="G411" s="18">
        <v>15.03</v>
      </c>
      <c r="H411" s="19">
        <f t="shared" si="39"/>
        <v>0.01503</v>
      </c>
      <c r="I411" s="1" t="s">
        <v>2762</v>
      </c>
      <c r="J411" s="1" t="s">
        <v>2763</v>
      </c>
      <c r="K411" s="1" t="s">
        <v>2764</v>
      </c>
      <c r="L411" s="11" t="s">
        <v>2765</v>
      </c>
      <c r="M411" s="1" t="s">
        <v>778</v>
      </c>
      <c r="N411" s="1" t="s">
        <v>42</v>
      </c>
      <c r="O411" s="1">
        <v>136.63</v>
      </c>
      <c r="P411" s="1">
        <v>15.03</v>
      </c>
      <c r="Q411" s="1">
        <v>0.0</v>
      </c>
      <c r="R411" s="1" t="s">
        <v>2689</v>
      </c>
      <c r="S411" s="1" t="s">
        <v>2766</v>
      </c>
      <c r="T411" s="1" t="s">
        <v>2762</v>
      </c>
      <c r="U411" s="1" t="s">
        <v>780</v>
      </c>
      <c r="V411" s="1" t="s">
        <v>200</v>
      </c>
      <c r="W411" s="1" t="s">
        <v>2767</v>
      </c>
      <c r="X411" s="1" t="s">
        <v>398</v>
      </c>
      <c r="Y411" s="1" t="s">
        <v>399</v>
      </c>
      <c r="Z411" s="1" t="s">
        <v>50</v>
      </c>
      <c r="AA411" s="16">
        <v>15.03</v>
      </c>
      <c r="AB411" s="16">
        <f t="shared" si="2"/>
        <v>0.01503</v>
      </c>
      <c r="AC411" s="17" t="s">
        <v>201</v>
      </c>
      <c r="AD411" s="17" t="inlineStr">
        <is>
          <t>Further research required if this item is used in the project. Calculated charger loss at rated 121.6 W output, 230 VAC, 25°C Datasheet 2026-07-06: rated output 30.4 V × 4 A = 121.6 W; typical XLR efficiency 89%. Input = 121.6/0.89 = 136.63 W; local charger loss = 15.03 W. Defined one-charger subtotal, not complete battery system. Excludes battery losses, fans and other cabinet parts. Not all-stage average; TB version efficiency differs. This retains the original reference, including any unresolved source limitations; it is not newly validated net room heat. REQUIRED: Charger version and charging stages, battery losses and cabinet auxiliaries; verify load-dependent efficiency.</t>
        </is>
      </c>
      <c r="AE411" s="97" t="str">
        <v>EQ-0406</v>
      </c>
      <c r="AF411" s="98" t="str">
        <v>battery charger cabinet</v>
      </c>
      <c r="AG411" s="98" t="str">
        <v>REFERENCE_ONLY</v>
      </c>
      <c r="AH411" s="98" t="str">
        <v>Do not auto-use reference wattage. Resolve the missing heat data or document a project estimate.</v>
      </c>
    </row>
    <row r="412">
      <c r="A412" s="1" t="s">
        <v>2682</v>
      </c>
      <c r="B412" s="1" t="s">
        <v>2769</v>
      </c>
      <c r="C412" s="13" t="s">
        <v>243</v>
      </c>
      <c r="D412" s="14" t="s">
        <v>67</v>
      </c>
      <c r="E412" s="14" t="s">
        <v>67</v>
      </c>
      <c r="F412" s="7" t="inlineStr">
        <is>
          <t>Further research required if this item is used in the project. NUMERIC EXAMPLE: 9 W (0.009 kW); EXISTING REFERENCE — scope/state limits apply. TO COMPLETE: Installed PLC/IO/HMI/relay/PSU inventory and losses; locate remote field loads separately. Manufacturer lists typical power loss 9 W. This fills the PLC contribution, not a complete cabinet total. Add actual PSU, I/O modules, HMI, relays, fans and cable losses; keep remote field loads outside the panel boundary. Hardware generations differ. D/E remain unknown; use documented project inputs in Room worksheet I:M once resolved.</t>
        </is>
      </c>
      <c r="G412" s="18">
        <v>9.0</v>
      </c>
      <c r="H412" s="19">
        <f t="shared" si="39"/>
        <v>0.009</v>
      </c>
      <c r="I412" s="1" t="s">
        <v>2771</v>
      </c>
      <c r="J412" s="1" t="s">
        <v>2772</v>
      </c>
      <c r="K412" s="1" t="s">
        <v>2773</v>
      </c>
      <c r="L412" s="11" t="s">
        <v>2774</v>
      </c>
      <c r="M412" s="1" t="s">
        <v>778</v>
      </c>
      <c r="N412" s="1" t="s">
        <v>582</v>
      </c>
      <c r="O412" s="1" t="s">
        <v>606</v>
      </c>
      <c r="P412" s="1">
        <v>9.0</v>
      </c>
      <c r="Q412" s="1">
        <v>0.0</v>
      </c>
      <c r="R412" s="1" t="s">
        <v>2689</v>
      </c>
      <c r="S412" s="1" t="s">
        <v>2775</v>
      </c>
      <c r="T412" s="1" t="s">
        <v>2771</v>
      </c>
      <c r="U412" s="1" t="s">
        <v>780</v>
      </c>
      <c r="V412" s="1" t="s">
        <v>200</v>
      </c>
      <c r="W412" s="1" t="s">
        <v>2776</v>
      </c>
      <c r="X412" s="1" t="s">
        <v>48</v>
      </c>
      <c r="Y412" s="1" t="s">
        <v>49</v>
      </c>
      <c r="Z412" s="1" t="s">
        <v>50</v>
      </c>
      <c r="AA412" s="16">
        <v>9.0</v>
      </c>
      <c r="AB412" s="16">
        <f t="shared" si="2"/>
        <v>0.009</v>
      </c>
      <c r="AC412" s="17" t="s">
        <v>201</v>
      </c>
      <c r="AD412" s="17" t="inlineStr">
        <is>
          <t>Further research required if this item is used in the project. Published typical PLC CPU loss; CPU contribution only Manufacturer lists typical power loss 9 W. This fills the PLC contribution, not a complete cabinet total. Add actual PSU, I/O modules, HMI, relays, fans and cable losses; keep remote field loads outside the panel boundary. Hardware generations differ. This retains the original reference, including any unresolved source limitations; it is not newly validated net room heat. REQUIRED: Installed PLC/IO/HMI/relay/PSU inventory and losses; locate remote field loads separately.</t>
        </is>
      </c>
      <c r="AE412" s="97" t="str">
        <v>EQ-0407</v>
      </c>
      <c r="AF412" s="98" t="str">
        <v>control panel / plc cabinet</v>
      </c>
      <c r="AG412" s="98" t="str">
        <v>REFERENCE_ONLY</v>
      </c>
      <c r="AH412" s="98" t="str">
        <v>Do not auto-use reference wattage. Resolve the missing heat data or document a project estimate.</v>
      </c>
    </row>
    <row r="413">
      <c r="A413" s="1" t="s">
        <v>2682</v>
      </c>
      <c r="B413" s="1" t="s">
        <v>2778</v>
      </c>
      <c r="C413" s="13" t="s">
        <v>243</v>
      </c>
      <c r="D413" s="14" t="s">
        <v>67</v>
      </c>
      <c r="E413" s="14" t="s">
        <v>67</v>
      </c>
      <c r="F413" s="7" t="inlineStr">
        <is>
          <t>Further research required if this item is used in the project. NUMERIC EXAMPLE: 6 W (0.006 kW); EXISTING REFERENCE — scope/state limits apply. TO COMPLETE: Installed BMS controller/IO/relay/PSU inventory and losses; distinguish AC apparent power from DC real input. Manufacturer DC base load 6 W (0.25 A × 24 V). This is the controller contribution, not complete panel heat. Add in-panel PSU losses, I/O, relays and fans for actual configuration; allocate remote field-device heat separately. AC 10 VA is not 10 W. D/E remain unknown; use documented project inputs in Room worksheet I:M once resolved.</t>
        </is>
      </c>
      <c r="G413" s="18">
        <v>6.0</v>
      </c>
      <c r="H413" s="19">
        <f t="shared" si="39"/>
        <v>0.006</v>
      </c>
      <c r="I413" s="1" t="s">
        <v>2780</v>
      </c>
      <c r="J413" s="1" t="s">
        <v>2781</v>
      </c>
      <c r="K413" s="1" t="s">
        <v>2782</v>
      </c>
      <c r="L413" s="11" t="s">
        <v>2783</v>
      </c>
      <c r="M413" s="1" t="s">
        <v>778</v>
      </c>
      <c r="N413" s="1" t="s">
        <v>582</v>
      </c>
      <c r="O413" s="1">
        <v>6.0</v>
      </c>
      <c r="P413" s="1">
        <v>6.0</v>
      </c>
      <c r="Q413" s="1">
        <v>0.0</v>
      </c>
      <c r="R413" s="1" t="s">
        <v>2689</v>
      </c>
      <c r="S413" s="1" t="s">
        <v>2784</v>
      </c>
      <c r="T413" s="1" t="s">
        <v>2780</v>
      </c>
      <c r="U413" s="1" t="s">
        <v>780</v>
      </c>
      <c r="V413" s="1" t="s">
        <v>200</v>
      </c>
      <c r="W413" s="1" t="s">
        <v>2785</v>
      </c>
      <c r="X413" s="1" t="s">
        <v>48</v>
      </c>
      <c r="Y413" s="1" t="s">
        <v>49</v>
      </c>
      <c r="Z413" s="1" t="s">
        <v>50</v>
      </c>
      <c r="AA413" s="16">
        <v>6.0</v>
      </c>
      <c r="AB413" s="16">
        <f t="shared" si="2"/>
        <v>0.006</v>
      </c>
      <c r="AC413" s="17" t="s">
        <v>201</v>
      </c>
      <c r="AD413" s="17" t="inlineStr">
        <is>
          <t>Further research required if this item is used in the project. Controller base load; no TXM, KNX PL-Link or field-device loading Manufacturer DC base load 6 W (0.25 A × 24 V). This is the controller contribution, not complete panel heat. Add in-panel PSU losses, I/O, relays and fans for actual configuration; allocate remote field-device heat separately. AC 10 VA is not 10 W. This retains the original reference, including any unresolved source limitations; it is not newly validated net room heat. REQUIRED: Installed BMS controller/IO/relay/PSU inventory and losses; distinguish AC apparent power from DC real input.</t>
        </is>
      </c>
      <c r="AE413" s="97" t="str">
        <v>EQ-0408</v>
      </c>
      <c r="AF413" s="98" t="str">
        <v>building management system control panel</v>
      </c>
      <c r="AG413" s="98" t="str">
        <v>REFERENCE_ONLY</v>
      </c>
      <c r="AH413" s="98" t="str">
        <v>Do not auto-use reference wattage. Resolve the missing heat data or document a project estimate.</v>
      </c>
    </row>
    <row r="414">
      <c r="A414" s="1" t="s">
        <v>2682</v>
      </c>
      <c r="B414" s="1" t="s">
        <v>2787</v>
      </c>
      <c r="C414" s="13" t="s">
        <v>87</v>
      </c>
      <c r="D414" s="14">
        <v>5.5</v>
      </c>
      <c r="E414" s="14">
        <v>0.0</v>
      </c>
      <c r="F414" s="13" t="s">
        <v>2788</v>
      </c>
      <c r="G414" s="18">
        <v>5.5</v>
      </c>
      <c r="H414" s="19">
        <f t="shared" si="39"/>
        <v>0.0055</v>
      </c>
      <c r="I414" s="1" t="s">
        <v>2789</v>
      </c>
      <c r="J414" s="1" t="s">
        <v>2790</v>
      </c>
      <c r="K414" s="1" t="s">
        <v>2791</v>
      </c>
      <c r="L414" s="11" t="s">
        <v>2792</v>
      </c>
      <c r="M414" s="1" t="s">
        <v>459</v>
      </c>
      <c r="N414" s="1" t="s">
        <v>42</v>
      </c>
      <c r="O414" s="1">
        <v>5.5</v>
      </c>
      <c r="P414" s="1">
        <v>5.5</v>
      </c>
      <c r="Q414" s="1">
        <v>0.0</v>
      </c>
      <c r="R414" s="1" t="s">
        <v>2689</v>
      </c>
      <c r="S414" s="1" t="s">
        <v>2793</v>
      </c>
      <c r="T414" s="1" t="s">
        <v>2789</v>
      </c>
      <c r="U414" s="1" t="s">
        <v>461</v>
      </c>
      <c r="V414" s="1" t="s">
        <v>46</v>
      </c>
      <c r="W414" s="1" t="s">
        <v>47</v>
      </c>
      <c r="X414" s="1" t="s">
        <v>591</v>
      </c>
      <c r="Y414" s="1" t="s">
        <v>592</v>
      </c>
      <c r="Z414" s="1" t="s">
        <v>50</v>
      </c>
      <c r="AA414" s="12">
        <v>5.5</v>
      </c>
      <c r="AB414" s="12">
        <f t="shared" si="2"/>
        <v>0.0055</v>
      </c>
      <c r="AC414" s="13" t="s">
        <v>51</v>
      </c>
      <c r="AD414" s="13" t="s">
        <v>2788</v>
      </c>
      <c r="AE414" s="97" t="str">
        <v>EQ-0409</v>
      </c>
      <c r="AF414" s="98" t="str">
        <v>industrial computer / hmi</v>
      </c>
      <c r="AG414" s="98" t="str">
        <v>CONDITIONAL_MATCH</v>
      </c>
      <c r="AH414" s="98" t="str">
        <v>Match model or supported analogue, operating state, room allocation and all conditions in F. Use D/E only.</v>
      </c>
    </row>
    <row r="415">
      <c r="A415" s="1" t="s">
        <v>2682</v>
      </c>
      <c r="B415" s="1" t="s">
        <v>2794</v>
      </c>
      <c r="C415" s="13" t="s">
        <v>243</v>
      </c>
      <c r="D415" s="14" t="s">
        <v>67</v>
      </c>
      <c r="E415" s="14" t="s">
        <v>67</v>
      </c>
      <c r="F415" s="7" t="inlineStr">
        <is>
          <t>Further research required if this item is used in the project. NUMERIC EXAMPLE: 30 W (0.03 kW); EXISTING REFERENCE — scope/state limits apply. TO COMPLETE: Relay count/state and real power; supplies, other controls and fans; complete panel loss total. One relay component, not total protection panel. AC specification75 VA is not watts. Need relay count, PSU and other panel components. D/E remain unknown; use documented project inputs in Room worksheet I:M once resolved.</t>
        </is>
      </c>
      <c r="G415" s="18">
        <v>30.0</v>
      </c>
      <c r="H415" s="19">
        <f t="shared" si="39"/>
        <v>0.03</v>
      </c>
      <c r="I415" s="1" t="s">
        <v>2796</v>
      </c>
      <c r="J415" s="1" t="s">
        <v>2797</v>
      </c>
      <c r="K415" s="1" t="s">
        <v>2798</v>
      </c>
      <c r="L415" s="11" t="s">
        <v>2799</v>
      </c>
      <c r="M415" s="1" t="s">
        <v>459</v>
      </c>
      <c r="N415" s="1" t="s">
        <v>42</v>
      </c>
      <c r="O415" s="1">
        <v>30.0</v>
      </c>
      <c r="P415" s="1">
        <v>30.0</v>
      </c>
      <c r="Q415" s="1">
        <v>0.0</v>
      </c>
      <c r="R415" s="1" t="s">
        <v>2689</v>
      </c>
      <c r="S415" s="1" t="s">
        <v>2800</v>
      </c>
      <c r="T415" s="1" t="s">
        <v>2796</v>
      </c>
      <c r="U415" s="1" t="s">
        <v>676</v>
      </c>
      <c r="V415" s="1" t="s">
        <v>200</v>
      </c>
      <c r="W415" s="1" t="s">
        <v>2801</v>
      </c>
      <c r="X415" s="1" t="s">
        <v>48</v>
      </c>
      <c r="Y415" s="1" t="s">
        <v>49</v>
      </c>
      <c r="Z415" s="1" t="s">
        <v>50</v>
      </c>
      <c r="AA415" s="16">
        <v>30.0</v>
      </c>
      <c r="AB415" s="16">
        <f t="shared" si="2"/>
        <v>0.03</v>
      </c>
      <c r="AC415" s="17" t="s">
        <v>201</v>
      </c>
      <c r="AD415" s="17" t="inlineStr">
        <is>
          <t>Further research required if this item is used in the project. Upper bound &lt;30 W DC One relay component, not total protection panel. AC specification75 VA is not watts. Need relay count, PSU and other panel components. This retains the original reference, including any unresolved source limitations; it is not newly validated net room heat. REQUIRED: Relay count/state and real power; supplies, other controls and fans; complete panel loss total.</t>
        </is>
      </c>
      <c r="AE415" s="97" t="str">
        <v>EQ-0410</v>
      </c>
      <c r="AF415" s="98" t="str">
        <v>protection relay panel</v>
      </c>
      <c r="AG415" s="98" t="str">
        <v>REFERENCE_ONLY</v>
      </c>
      <c r="AH415" s="98" t="str">
        <v>Do not auto-use reference wattage. Resolve the missing heat data or document a project estimate.</v>
      </c>
    </row>
    <row r="416">
      <c r="A416" s="1" t="s">
        <v>2682</v>
      </c>
      <c r="B416" s="1" t="s">
        <v>2803</v>
      </c>
      <c r="C416" s="13" t="s">
        <v>243</v>
      </c>
      <c r="D416" s="14" t="s">
        <v>67</v>
      </c>
      <c r="E416" s="14" t="s">
        <v>67</v>
      </c>
      <c r="F416" s="7" t="inlineStr">
        <is>
          <t>Further research required if this item is used in the project. NUMERIC EXAMPLE: 4.08 W (0.00408 kW); EXISTING REFERENCE — scope/state limits apply. TO COMPLETE: Controller state plus battery charger, cabinet heater and relay losses; generator heat separately. 12 V × 0.340 A = 4.08 W controller contribution. Published standby 12 V × 0.160 A = 1.92 W. Does not cover battery charger, cabinet heater, switched relay loads or generator heat. Add actual panel components and PSU losses separately. D/E remain unknown; use documented project inputs in Room worksheet I:M once resolved.</t>
        </is>
      </c>
      <c r="G416" s="18">
        <v>4.08</v>
      </c>
      <c r="H416" s="19">
        <f t="shared" si="39"/>
        <v>0.00408</v>
      </c>
      <c r="I416" s="1" t="s">
        <v>2805</v>
      </c>
      <c r="J416" s="1" t="s">
        <v>2806</v>
      </c>
      <c r="K416" s="1" t="s">
        <v>2807</v>
      </c>
      <c r="L416" s="11" t="s">
        <v>2808</v>
      </c>
      <c r="M416" s="1" t="s">
        <v>778</v>
      </c>
      <c r="N416" s="1" t="s">
        <v>582</v>
      </c>
      <c r="O416" s="1">
        <v>4.08</v>
      </c>
      <c r="P416" s="1">
        <v>4.08</v>
      </c>
      <c r="Q416" s="1">
        <v>0.0</v>
      </c>
      <c r="R416" s="1" t="s">
        <v>2689</v>
      </c>
      <c r="S416" s="1" t="s">
        <v>2809</v>
      </c>
      <c r="T416" s="1" t="s">
        <v>2805</v>
      </c>
      <c r="U416" s="1" t="s">
        <v>780</v>
      </c>
      <c r="V416" s="1" t="s">
        <v>200</v>
      </c>
      <c r="W416" s="1" t="s">
        <v>2810</v>
      </c>
      <c r="X416" s="1" t="s">
        <v>48</v>
      </c>
      <c r="Y416" s="1" t="s">
        <v>49</v>
      </c>
      <c r="Z416" s="1" t="s">
        <v>50</v>
      </c>
      <c r="AA416" s="16">
        <v>4.08</v>
      </c>
      <c r="AB416" s="16">
        <f t="shared" si="2"/>
        <v>0.00408</v>
      </c>
      <c r="AC416" s="17" t="s">
        <v>201</v>
      </c>
      <c r="AD416" s="17" t="inlineStr">
        <is>
          <t>Further research required if this item is used in the project. Maximum controller operating current at 12 VDC 12 V × 0.340 A = 4.08 W controller contribution. Published standby 12 V × 0.160 A = 1.92 W. Does not cover battery charger, cabinet heater, switched relay loads or generator heat. Add actual panel components and PSU losses separately. This retains the original reference, including any unresolved source limitations; it is not newly validated net room heat. REQUIRED: Controller state plus battery charger, cabinet heater and relay losses; generator heat separately.</t>
        </is>
      </c>
      <c r="AE416" s="97" t="str">
        <v>EQ-0411</v>
      </c>
      <c r="AF416" s="98" t="str">
        <v>generator control panel</v>
      </c>
      <c r="AG416" s="98" t="str">
        <v>REFERENCE_ONLY</v>
      </c>
      <c r="AH416" s="98" t="str">
        <v>Do not auto-use reference wattage. Resolve the missing heat data or document a project estimate.</v>
      </c>
    </row>
    <row r="417">
      <c r="A417" s="1" t="s">
        <v>2682</v>
      </c>
      <c r="B417" s="1" t="s">
        <v>2812</v>
      </c>
      <c r="C417" s="13" t="s">
        <v>35</v>
      </c>
      <c r="D417" s="14">
        <v>128.21</v>
      </c>
      <c r="E417" s="14">
        <v>0.0</v>
      </c>
      <c r="F417" s="13" t="s">
        <v>2813</v>
      </c>
      <c r="G417" s="18">
        <v>128.21</v>
      </c>
      <c r="H417" s="19">
        <f t="shared" si="39"/>
        <v>0.12821</v>
      </c>
      <c r="I417" s="1" t="s">
        <v>2814</v>
      </c>
      <c r="J417" s="1" t="s">
        <v>2815</v>
      </c>
      <c r="K417" s="1" t="s">
        <v>2816</v>
      </c>
      <c r="L417" s="11" t="s">
        <v>2817</v>
      </c>
      <c r="M417" s="1" t="s">
        <v>459</v>
      </c>
      <c r="N417" s="1" t="s">
        <v>42</v>
      </c>
      <c r="O417" s="1">
        <v>5128.21</v>
      </c>
      <c r="P417" s="1">
        <v>128.21</v>
      </c>
      <c r="Q417" s="1">
        <v>0.0</v>
      </c>
      <c r="R417" s="1" t="s">
        <v>2689</v>
      </c>
      <c r="S417" s="1" t="s">
        <v>2818</v>
      </c>
      <c r="T417" s="1" t="s">
        <v>2814</v>
      </c>
      <c r="U417" s="1" t="s">
        <v>461</v>
      </c>
      <c r="V417" s="1" t="s">
        <v>46</v>
      </c>
      <c r="W417" s="1" t="s">
        <v>47</v>
      </c>
      <c r="X417" s="1" t="s">
        <v>398</v>
      </c>
      <c r="Y417" s="1" t="s">
        <v>399</v>
      </c>
      <c r="Z417" s="1" t="s">
        <v>50</v>
      </c>
      <c r="AA417" s="12">
        <v>128.21</v>
      </c>
      <c r="AB417" s="12">
        <f t="shared" si="2"/>
        <v>0.12821</v>
      </c>
      <c r="AC417" s="13" t="s">
        <v>51</v>
      </c>
      <c r="AD417" s="13" t="s">
        <v>2813</v>
      </c>
      <c r="AE417" s="97" t="str">
        <v>EQ-0412</v>
      </c>
      <c r="AF417" s="98" t="str">
        <v>solar inverter</v>
      </c>
      <c r="AG417" s="98" t="str">
        <v>CONDITIONAL_MATCH</v>
      </c>
      <c r="AH417" s="98" t="str">
        <v>Match model or supported analogue, operating state, room allocation and all conditions in F. Use D/E only.</v>
      </c>
    </row>
    <row r="418">
      <c r="A418" s="1" t="s">
        <v>2682</v>
      </c>
      <c r="B418" s="1" t="s">
        <v>2819</v>
      </c>
      <c r="C418" s="13" t="s">
        <v>87</v>
      </c>
      <c r="D418" s="14">
        <v>20.0</v>
      </c>
      <c r="E418" s="14">
        <v>0.0</v>
      </c>
      <c r="F418" s="13" t="s">
        <v>2820</v>
      </c>
      <c r="G418" s="18">
        <v>20.0</v>
      </c>
      <c r="H418" s="19">
        <f t="shared" si="39"/>
        <v>0.02</v>
      </c>
      <c r="I418" s="1" t="s">
        <v>2821</v>
      </c>
      <c r="J418" s="1" t="s">
        <v>2822</v>
      </c>
      <c r="K418" s="1" t="s">
        <v>2823</v>
      </c>
      <c r="L418" s="11" t="s">
        <v>2824</v>
      </c>
      <c r="M418" s="1" t="s">
        <v>459</v>
      </c>
      <c r="N418" s="1" t="s">
        <v>42</v>
      </c>
      <c r="O418" s="1">
        <v>20.0</v>
      </c>
      <c r="P418" s="1">
        <v>20.0</v>
      </c>
      <c r="Q418" s="1">
        <v>0.0</v>
      </c>
      <c r="R418" s="1" t="s">
        <v>2689</v>
      </c>
      <c r="S418" s="1" t="s">
        <v>2825</v>
      </c>
      <c r="T418" s="1" t="s">
        <v>2821</v>
      </c>
      <c r="U418" s="1" t="s">
        <v>1741</v>
      </c>
      <c r="V418" s="1" t="s">
        <v>46</v>
      </c>
      <c r="W418" s="1" t="s">
        <v>47</v>
      </c>
      <c r="X418" s="1" t="s">
        <v>398</v>
      </c>
      <c r="Y418" s="1" t="s">
        <v>399</v>
      </c>
      <c r="Z418" s="1" t="s">
        <v>50</v>
      </c>
      <c r="AA418" s="12">
        <v>20.0</v>
      </c>
      <c r="AB418" s="12">
        <f t="shared" si="2"/>
        <v>0.02</v>
      </c>
      <c r="AC418" s="13" t="s">
        <v>51</v>
      </c>
      <c r="AD418" s="13" t="s">
        <v>2820</v>
      </c>
      <c r="AE418" s="97" t="str">
        <v>EQ-0413</v>
      </c>
      <c r="AF418" s="98" t="str">
        <v>battery energy storage system - inverter losses</v>
      </c>
      <c r="AG418" s="98" t="str">
        <v>CONDITIONAL_MATCH</v>
      </c>
      <c r="AH418" s="98" t="str">
        <v>Match model or supported analogue, operating state, room allocation and all conditions in F. Use D/E only.</v>
      </c>
    </row>
    <row r="419">
      <c r="A419" s="1" t="s">
        <v>2682</v>
      </c>
      <c r="B419" s="1" t="s">
        <v>2826</v>
      </c>
      <c r="C419" s="13" t="s">
        <v>243</v>
      </c>
      <c r="D419" s="14" t="s">
        <v>67</v>
      </c>
      <c r="E419" s="14" t="s">
        <v>67</v>
      </c>
      <c r="F419" s="7" t="inlineStr">
        <is>
          <t>Further research required if this item is used in the project. NUMERIC EXAMPLE: 20 W (0.02 kW); EXISTING REFERENCE — scope/state limits apply. TO COMPLETE: Actual AP77XX operating currents and resistive losses added to the 20 W fixed-loss reference; not a building ATS proxy. Schneider FAQ rechecked 19 Oct 2026: approximately 20 W is fixed AP77XX electronics consumption, excluding current-dependent resistive losses. D/E remain unknown; use documented project inputs in Room worksheet I:M once resolved.</t>
        </is>
      </c>
      <c r="G419" s="18">
        <v>20.0</v>
      </c>
      <c r="H419" s="19">
        <f t="shared" si="39"/>
        <v>0.02</v>
      </c>
      <c r="I419" s="1" t="s">
        <v>2828</v>
      </c>
      <c r="J419" s="1" t="s">
        <v>2829</v>
      </c>
      <c r="K419" s="1" t="s">
        <v>2830</v>
      </c>
      <c r="L419" s="11" t="s">
        <v>1937</v>
      </c>
      <c r="M419" s="1" t="s">
        <v>459</v>
      </c>
      <c r="N419" s="1" t="s">
        <v>582</v>
      </c>
      <c r="O419" s="1">
        <v>20.0</v>
      </c>
      <c r="P419" s="1">
        <v>20.0</v>
      </c>
      <c r="Q419" s="1">
        <v>0.0</v>
      </c>
      <c r="R419" s="1" t="s">
        <v>2689</v>
      </c>
      <c r="S419" s="1" t="s">
        <v>2831</v>
      </c>
      <c r="T419" s="1" t="s">
        <v>2828</v>
      </c>
      <c r="U419" s="1" t="s">
        <v>676</v>
      </c>
      <c r="V419" s="1" t="s">
        <v>200</v>
      </c>
      <c r="W419" s="1" t="s">
        <v>2832</v>
      </c>
      <c r="X419" s="1" t="s">
        <v>398</v>
      </c>
      <c r="Y419" s="1" t="s">
        <v>399</v>
      </c>
      <c r="Z419" s="1" t="s">
        <v>50</v>
      </c>
      <c r="AA419" s="16">
        <v>20.0</v>
      </c>
      <c r="AB419" s="16">
        <f t="shared" si="2"/>
        <v>0.02</v>
      </c>
      <c r="AC419" s="17" t="s">
        <v>201</v>
      </c>
      <c r="AD419" s="17" t="inlineStr">
        <is>
          <t>Further research required if this item is used in the project. Approximate fixed electronics consumption 20 W excludes current-dependent resistive losses; rack model example, not building ATS total. This retains the original reference, including any unresolved source limitations; it is not newly validated net room heat. REQUIRED: Actual AP77XX operating currents and resistive losses added to the 20 W fixed-loss reference; not a building ATS proxy.</t>
        </is>
      </c>
      <c r="AE419" s="97" t="str">
        <v>EQ-0414</v>
      </c>
      <c r="AF419" s="98" t="str">
        <v>automatic transfer switch</v>
      </c>
      <c r="AG419" s="98" t="str">
        <v>REFERENCE_ONLY</v>
      </c>
      <c r="AH419" s="98" t="str">
        <v>Do not auto-use reference wattage. Resolve the missing heat data or document a project estimate.</v>
      </c>
    </row>
    <row r="420">
      <c r="A420" s="1" t="s">
        <v>2834</v>
      </c>
      <c r="B420" s="1" t="s">
        <v>2835</v>
      </c>
      <c r="C420" s="13" t="s">
        <v>243</v>
      </c>
      <c r="D420" s="14" t="s">
        <v>67</v>
      </c>
      <c r="E420" s="14" t="s">
        <v>67</v>
      </c>
      <c r="F420" s="7" t="inlineStr">
        <is>
          <t>Further research required if this item is used in the project. NUMERIC EXAMPLE: 1 W (0.001 kW); EXISTING REFERENCE — scope/state limits apply. TO COMPLETE: Actual actuator count, moving/holding duty and supply losses; use per-device state data, not one device for a bank. Per actuator while moving; rest 0.2 W. A bank needs actual count and duty; not 1 W for an entire bank. D/E remain unknown; use documented project inputs in Room worksheet I:M once resolved.</t>
        </is>
      </c>
      <c r="G420" s="18">
        <v>1.0</v>
      </c>
      <c r="H420" s="19">
        <f t="shared" si="39"/>
        <v>0.001</v>
      </c>
      <c r="I420" s="1" t="s">
        <v>1433</v>
      </c>
      <c r="J420" s="1" t="s">
        <v>2837</v>
      </c>
      <c r="K420" s="1" t="s">
        <v>2838</v>
      </c>
      <c r="L420" s="11" t="s">
        <v>2839</v>
      </c>
      <c r="M420" s="1" t="s">
        <v>459</v>
      </c>
      <c r="N420" s="1" t="s">
        <v>42</v>
      </c>
      <c r="O420" s="1">
        <v>1.0</v>
      </c>
      <c r="P420" s="1">
        <v>1.0</v>
      </c>
      <c r="Q420" s="1">
        <v>0.0</v>
      </c>
      <c r="R420" s="1" t="s">
        <v>2840</v>
      </c>
      <c r="S420" s="1" t="s">
        <v>2841</v>
      </c>
      <c r="T420" s="1" t="s">
        <v>1433</v>
      </c>
      <c r="U420" s="1" t="s">
        <v>461</v>
      </c>
      <c r="V420" s="1" t="s">
        <v>200</v>
      </c>
      <c r="W420" s="1" t="s">
        <v>2842</v>
      </c>
      <c r="X420" s="1" t="s">
        <v>1202</v>
      </c>
      <c r="Y420" s="1" t="s">
        <v>1203</v>
      </c>
      <c r="Z420" s="1" t="s">
        <v>50</v>
      </c>
      <c r="AA420" s="16">
        <v>1.0</v>
      </c>
      <c r="AB420" s="16">
        <f t="shared" si="2"/>
        <v>0.001</v>
      </c>
      <c r="AC420" s="17" t="s">
        <v>201</v>
      </c>
      <c r="AD420" s="17" t="inlineStr">
        <is>
          <t>Further research required if this item is used in the project. Manufacturer operating/rated example; see qualification Per actuator while moving; rest 0.2 W. A bank needs actual count and duty; not 1 W for an entire bank. This retains the original reference, including any unresolved source limitations; it is not newly validated net room heat. REQUIRED: Actual actuator count, moving/holding duty and supply losses; use per-device state data, not one device for a bank.</t>
        </is>
      </c>
      <c r="AE420" s="97" t="str">
        <v>EQ-0415</v>
      </c>
      <c r="AF420" s="98" t="str">
        <v>electric actuator bank</v>
      </c>
      <c r="AG420" s="98" t="str">
        <v>REFERENCE_ONLY</v>
      </c>
      <c r="AH420" s="98" t="str">
        <v>Do not auto-use reference wattage. Resolve the missing heat data or document a project estimate.</v>
      </c>
    </row>
    <row r="421">
      <c r="A421" s="1" t="s">
        <v>2834</v>
      </c>
      <c r="B421" s="1" t="s">
        <v>2844</v>
      </c>
      <c r="C421" s="13" t="s">
        <v>479</v>
      </c>
      <c r="D421" s="14" t="s">
        <v>67</v>
      </c>
      <c r="E421" s="14" t="s">
        <v>67</v>
      </c>
      <c r="F421" s="7" t="inlineStr">
        <is>
          <t>Further research required if this item is used in the project. USER-REQUESTED HYPOTHETICAL EXAMPLE: 100 W (0.1 kW). Illustrative instrumentation cabinet: assumed 40 W instruments +30 W supplies +20 W IO +10 W fan =100 W local dissipation; field loads excluded. Assumed for illustration, not sourced or project-approved. Sensible/latent split unverified. TO COMPLETE: Actual instrument/PLC/IO/PSU inventory and local loss data; separate remote field equipment. Need instrument/PLC/I/O/PSU inventory and real dissipation; field transmitters outside cabinet must be allocated separately. Reference link is supporting method/product context only; no numeric room-heat value established. D/E remain unknown; use documented project inputs in Room worksheet I:M once resolved.</t>
        </is>
      </c>
      <c r="G421" s="18" t="s">
        <v>616</v>
      </c>
      <c r="H421" s="19" t="s">
        <v>616</v>
      </c>
      <c r="I421" s="1" t="s">
        <v>617</v>
      </c>
      <c r="J421" s="1" t="s">
        <v>2846</v>
      </c>
      <c r="K421" s="1" t="s">
        <v>2847</v>
      </c>
      <c r="L421" s="11" t="s">
        <v>2697</v>
      </c>
      <c r="M421" s="1" t="s">
        <v>621</v>
      </c>
      <c r="N421" s="1" t="s">
        <v>582</v>
      </c>
      <c r="O421" s="1" t="s">
        <v>606</v>
      </c>
      <c r="P421" s="1" t="s">
        <v>486</v>
      </c>
      <c r="Q421" s="1" t="s">
        <v>486</v>
      </c>
      <c r="R421" s="1" t="s">
        <v>2840</v>
      </c>
      <c r="S421" s="1" t="s">
        <v>2848</v>
      </c>
      <c r="T421" s="1" t="s">
        <v>617</v>
      </c>
      <c r="U421" s="1" t="s">
        <v>1698</v>
      </c>
      <c r="V421" s="1" t="s">
        <v>200</v>
      </c>
      <c r="W421" s="1" t="s">
        <v>2849</v>
      </c>
      <c r="X421" s="1" t="s">
        <v>48</v>
      </c>
      <c r="Y421" s="1" t="s">
        <v>49</v>
      </c>
      <c r="Z421" s="1" t="s">
        <v>50</v>
      </c>
      <c r="AA421" s="16">
        <v>100.0</v>
      </c>
      <c r="AB421" s="16">
        <f t="shared" si="2"/>
        <v>0.1</v>
      </c>
      <c r="AC421" s="17" t="s">
        <v>623</v>
      </c>
      <c r="AD421" s="17" t="inlineStr">
        <is>
          <t>Further research required if this item is used in the project. Illustrative instrumentation cabinet: assumed 40 W instruments +30 W supplies +20 W IO +10 W fan =100 W local dissipation; field loads excluded. REQUIRED: Actual instrument/PLC/IO/PSU inventory and local loss data; separate remote field equipment.</t>
        </is>
      </c>
      <c r="AE421" s="97" t="str">
        <v>EQ-0416</v>
      </c>
      <c r="AF421" s="98" t="str">
        <v>process control instrumentation cabinet</v>
      </c>
      <c r="AG421" s="98" t="str">
        <v>REFERENCE_ONLY</v>
      </c>
      <c r="AH421" s="98" t="str">
        <v>Do not auto-use reference wattage. Resolve the missing heat data or document a project estimate.</v>
      </c>
    </row>
    <row r="422">
      <c r="A422" s="1" t="s">
        <v>2834</v>
      </c>
      <c r="B422" s="1" t="s">
        <v>2851</v>
      </c>
      <c r="C422" s="13" t="s">
        <v>35</v>
      </c>
      <c r="D422" s="14">
        <v>8.8</v>
      </c>
      <c r="E422" s="14">
        <v>0.0</v>
      </c>
      <c r="F422" s="13" t="s">
        <v>2852</v>
      </c>
      <c r="G422" s="18">
        <v>8.8</v>
      </c>
      <c r="H422" s="19">
        <f t="shared" ref="H422:H424" si="40">G422/1000</f>
        <v>0.0088</v>
      </c>
      <c r="I422" s="1" t="s">
        <v>2853</v>
      </c>
      <c r="J422" s="1" t="s">
        <v>2854</v>
      </c>
      <c r="K422" s="1" t="s">
        <v>2855</v>
      </c>
      <c r="L422" s="11" t="s">
        <v>2856</v>
      </c>
      <c r="M422" s="1" t="s">
        <v>459</v>
      </c>
      <c r="N422" s="1" t="s">
        <v>42</v>
      </c>
      <c r="O422" s="1" t="s">
        <v>606</v>
      </c>
      <c r="P422" s="1">
        <v>8.8</v>
      </c>
      <c r="Q422" s="1">
        <v>0.0</v>
      </c>
      <c r="R422" s="1" t="s">
        <v>2840</v>
      </c>
      <c r="S422" s="1" t="s">
        <v>2857</v>
      </c>
      <c r="T422" s="1" t="s">
        <v>2853</v>
      </c>
      <c r="U422" s="1" t="s">
        <v>676</v>
      </c>
      <c r="V422" s="1" t="s">
        <v>46</v>
      </c>
      <c r="W422" s="1" t="s">
        <v>47</v>
      </c>
      <c r="X422" s="1" t="s">
        <v>398</v>
      </c>
      <c r="Y422" s="1" t="s">
        <v>399</v>
      </c>
      <c r="Z422" s="1" t="s">
        <v>50</v>
      </c>
      <c r="AA422" s="12">
        <v>8.8</v>
      </c>
      <c r="AB422" s="12">
        <f t="shared" si="2"/>
        <v>0.0088</v>
      </c>
      <c r="AC422" s="13" t="s">
        <v>51</v>
      </c>
      <c r="AD422" s="13" t="s">
        <v>2852</v>
      </c>
      <c r="AE422" s="97" t="str">
        <v>EQ-0417</v>
      </c>
      <c r="AF422" s="98" t="str">
        <v>industrial ups - losses only</v>
      </c>
      <c r="AG422" s="98" t="str">
        <v>CONDITIONAL_MATCH</v>
      </c>
      <c r="AH422" s="98" t="str">
        <v>Match model or supported analogue, operating state, room allocation and all conditions in F. Use D/E only.</v>
      </c>
    </row>
    <row r="423">
      <c r="A423" s="1" t="s">
        <v>2834</v>
      </c>
      <c r="B423" s="1" t="s">
        <v>2858</v>
      </c>
      <c r="C423" s="13" t="s">
        <v>243</v>
      </c>
      <c r="D423" s="14" t="s">
        <v>67</v>
      </c>
      <c r="E423" s="14" t="s">
        <v>67</v>
      </c>
      <c r="F423" s="7" t="inlineStr">
        <is>
          <t>Further research required if this item is used in the project. NUMERIC EXAMPLE: 20 W (0.02 kW); EXISTING REFERENCE — scope/state limits apply. TO COMPLETE: Controller outputs and local losses plus installed dosing/pumping panel auxiliaries; exclude exported device power. Pool water-treatment controller example, not full dosing/pumping plant. Check exported output power and auxiliaries before summing. D/E remain unknown; use documented project inputs in Room worksheet I:M once resolved.</t>
        </is>
      </c>
      <c r="G423" s="18">
        <v>20.0</v>
      </c>
      <c r="H423" s="19">
        <f t="shared" si="40"/>
        <v>0.02</v>
      </c>
      <c r="I423" s="1" t="s">
        <v>2860</v>
      </c>
      <c r="J423" s="1" t="s">
        <v>2861</v>
      </c>
      <c r="K423" s="1" t="s">
        <v>2862</v>
      </c>
      <c r="L423" s="11" t="s">
        <v>2863</v>
      </c>
      <c r="M423" s="1" t="s">
        <v>459</v>
      </c>
      <c r="N423" s="1" t="s">
        <v>582</v>
      </c>
      <c r="O423" s="1">
        <v>20.0</v>
      </c>
      <c r="P423" s="1">
        <v>20.0</v>
      </c>
      <c r="Q423" s="1">
        <v>0.0</v>
      </c>
      <c r="R423" s="1" t="s">
        <v>2840</v>
      </c>
      <c r="S423" s="1" t="s">
        <v>2864</v>
      </c>
      <c r="T423" s="1" t="s">
        <v>2860</v>
      </c>
      <c r="U423" s="1" t="s">
        <v>461</v>
      </c>
      <c r="V423" s="1" t="s">
        <v>200</v>
      </c>
      <c r="W423" s="1" t="s">
        <v>2865</v>
      </c>
      <c r="X423" s="1" t="s">
        <v>48</v>
      </c>
      <c r="Y423" s="1" t="s">
        <v>49</v>
      </c>
      <c r="Z423" s="1" t="s">
        <v>50</v>
      </c>
      <c r="AA423" s="16">
        <v>20.0</v>
      </c>
      <c r="AB423" s="16">
        <f t="shared" si="2"/>
        <v>0.02</v>
      </c>
      <c r="AC423" s="17" t="s">
        <v>201</v>
      </c>
      <c r="AD423" s="17" t="inlineStr">
        <is>
          <t>Further research required if this item is used in the project. Published controller consumption Pool water-treatment controller example, not full dosing/pumping plant. Check exported output power and auxiliaries before summing. This retains the original reference, including any unresolved source limitations; it is not newly validated net room heat. REQUIRED: Controller outputs and local losses plus installed dosing/pumping panel auxiliaries; exclude exported device power.</t>
        </is>
      </c>
      <c r="AE423" s="97" t="str">
        <v>EQ-0418</v>
      </c>
      <c r="AF423" s="98" t="str">
        <v>water treatment control panel</v>
      </c>
      <c r="AG423" s="98" t="str">
        <v>REFERENCE_ONLY</v>
      </c>
      <c r="AH423" s="98" t="str">
        <v>Do not auto-use reference wattage. Resolve the missing heat data or document a project estimate.</v>
      </c>
    </row>
    <row r="424">
      <c r="A424" s="1" t="s">
        <v>2834</v>
      </c>
      <c r="B424" s="1" t="s">
        <v>2867</v>
      </c>
      <c r="C424" s="13" t="s">
        <v>243</v>
      </c>
      <c r="D424" s="14" t="s">
        <v>67</v>
      </c>
      <c r="E424" s="14" t="s">
        <v>67</v>
      </c>
      <c r="F424" s="7" t="inlineStr">
        <is>
          <t>Further research required if this item is used in the project. NUMERIC EXAMPLE: 3 W (0.003 kW); EXISTING REFERENCE — scope/state limits apply. TO COMPLETE: Complete panel inventory and loss data; timer reference alone excludes other auxiliaries and pump output. Timer panel only; switched pump power is not controller loss. D/E remain unknown; use documented project inputs in Room worksheet I:M once resolved.</t>
        </is>
      </c>
      <c r="G424" s="18">
        <v>3.0</v>
      </c>
      <c r="H424" s="19">
        <f t="shared" si="40"/>
        <v>0.003</v>
      </c>
      <c r="I424" s="1" t="s">
        <v>2869</v>
      </c>
      <c r="J424" s="1" t="s">
        <v>2870</v>
      </c>
      <c r="K424" s="1" t="s">
        <v>2871</v>
      </c>
      <c r="L424" s="11" t="s">
        <v>2872</v>
      </c>
      <c r="M424" s="1" t="s">
        <v>459</v>
      </c>
      <c r="N424" s="1" t="s">
        <v>582</v>
      </c>
      <c r="O424" s="1">
        <v>3.0</v>
      </c>
      <c r="P424" s="1">
        <v>3.0</v>
      </c>
      <c r="Q424" s="1">
        <v>0.0</v>
      </c>
      <c r="R424" s="1" t="s">
        <v>2840</v>
      </c>
      <c r="S424" s="1" t="s">
        <v>2873</v>
      </c>
      <c r="T424" s="1" t="s">
        <v>2869</v>
      </c>
      <c r="U424" s="1" t="s">
        <v>461</v>
      </c>
      <c r="V424" s="1" t="s">
        <v>200</v>
      </c>
      <c r="W424" s="1" t="s">
        <v>2874</v>
      </c>
      <c r="X424" s="1" t="s">
        <v>48</v>
      </c>
      <c r="Y424" s="1" t="s">
        <v>49</v>
      </c>
      <c r="Z424" s="1" t="s">
        <v>50</v>
      </c>
      <c r="AA424" s="16">
        <v>3.0</v>
      </c>
      <c r="AB424" s="16">
        <f t="shared" si="2"/>
        <v>0.003</v>
      </c>
      <c r="AC424" s="17" t="s">
        <v>201</v>
      </c>
      <c r="AD424" s="17" t="inlineStr">
        <is>
          <t>Further research required if this item is used in the project. Maximum published consumption Timer panel only; switched pump power is not controller loss. This retains the original reference, including any unresolved source limitations; it is not newly validated net room heat. REQUIRED: Complete panel inventory and loss data; timer reference alone excludes other auxiliaries and pump output.</t>
        </is>
      </c>
      <c r="AE424" s="97" t="str">
        <v>EQ-0419</v>
      </c>
      <c r="AF424" s="98" t="str">
        <v>pump control panel</v>
      </c>
      <c r="AG424" s="98" t="str">
        <v>REFERENCE_ONLY</v>
      </c>
      <c r="AH424" s="98" t="str">
        <v>Do not auto-use reference wattage. Resolve the missing heat data or document a project estimate.</v>
      </c>
    </row>
    <row r="425">
      <c r="A425" s="1" t="s">
        <v>2834</v>
      </c>
      <c r="B425" s="1" t="s">
        <v>2876</v>
      </c>
      <c r="C425" s="13" t="s">
        <v>479</v>
      </c>
      <c r="D425" s="14" t="s">
        <v>67</v>
      </c>
      <c r="E425" s="14" t="s">
        <v>67</v>
      </c>
      <c r="F425" s="7" t="inlineStr">
        <is>
          <t>Further research required if this item is used in the project. USER-REQUESTED HYPOTHETICAL EXAMPLE: 1000 W (1 kW). Illustrative lift control cabinet: assumed 500 W drive loss +300 W braking-resistor heat +200 W controls/fan =1,000 W hourly average; motor/shaft heat excluded, trip/regeneration profile unverified. Assumed for illustration, not sourced or project-approved. Sensible/latent split unverified. TO COMPLETE: Actual lift drive/controller/brake configuration, trip duty and regeneration; machine-room heat allocation. Need elevator controller/drive/brake resistor configuration and duty; regenerated/exported energy and machine-room locations matter. Reference link is supporting method/product context only; no numeric room-heat value established. D/E remain unknown; use documented project inputs in Room worksheet I:M once resolved.</t>
        </is>
      </c>
      <c r="G425" s="18" t="s">
        <v>616</v>
      </c>
      <c r="H425" s="19" t="s">
        <v>616</v>
      </c>
      <c r="I425" s="1" t="s">
        <v>617</v>
      </c>
      <c r="J425" s="1" t="s">
        <v>2878</v>
      </c>
      <c r="K425" s="1" t="s">
        <v>2879</v>
      </c>
      <c r="L425" s="11" t="s">
        <v>2697</v>
      </c>
      <c r="M425" s="1" t="s">
        <v>621</v>
      </c>
      <c r="N425" s="1" t="s">
        <v>582</v>
      </c>
      <c r="O425" s="1" t="s">
        <v>606</v>
      </c>
      <c r="P425" s="1" t="s">
        <v>486</v>
      </c>
      <c r="Q425" s="1" t="s">
        <v>486</v>
      </c>
      <c r="R425" s="1" t="s">
        <v>2840</v>
      </c>
      <c r="S425" s="1" t="s">
        <v>2880</v>
      </c>
      <c r="T425" s="1" t="s">
        <v>617</v>
      </c>
      <c r="U425" s="1" t="s">
        <v>1698</v>
      </c>
      <c r="V425" s="1" t="s">
        <v>200</v>
      </c>
      <c r="W425" s="1" t="s">
        <v>2881</v>
      </c>
      <c r="X425" s="1" t="s">
        <v>48</v>
      </c>
      <c r="Y425" s="1" t="s">
        <v>49</v>
      </c>
      <c r="Z425" s="1" t="s">
        <v>50</v>
      </c>
      <c r="AA425" s="16">
        <v>1000.0</v>
      </c>
      <c r="AB425" s="16">
        <f t="shared" si="2"/>
        <v>1</v>
      </c>
      <c r="AC425" s="17" t="s">
        <v>623</v>
      </c>
      <c r="AD425" s="17" t="inlineStr">
        <is>
          <t>Further research required if this item is used in the project. Illustrative lift control cabinet: assumed 500 W drive loss +300 W braking-resistor heat +200 W controls/fan =1,000 W hourly average; motor/shaft heat excluded, trip/regeneration profile unverified. REQUIRED: Actual lift drive/controller/brake configuration, trip duty and regeneration; machine-room heat allocation.</t>
        </is>
      </c>
      <c r="AE425" s="97" t="str">
        <v>EQ-0420</v>
      </c>
      <c r="AF425" s="98" t="str">
        <v>lift / elevator control cabinet</v>
      </c>
      <c r="AG425" s="98" t="str">
        <v>REFERENCE_ONLY</v>
      </c>
      <c r="AH425" s="98" t="str">
        <v>Do not auto-use reference wattage. Resolve the missing heat data or document a project estimate.</v>
      </c>
    </row>
    <row r="426">
      <c r="A426" s="1" t="s">
        <v>1081</v>
      </c>
      <c r="B426" s="1" t="s">
        <v>2883</v>
      </c>
      <c r="C426" s="13" t="s">
        <v>129</v>
      </c>
      <c r="D426" s="14">
        <v>15.0</v>
      </c>
      <c r="E426" s="14">
        <v>0.0</v>
      </c>
      <c r="F426" s="13" t="s">
        <v>2884</v>
      </c>
      <c r="G426" s="18">
        <v>15.0</v>
      </c>
      <c r="H426" s="19">
        <f t="shared" ref="H426:H428" si="41">G426/1000</f>
        <v>0.015</v>
      </c>
      <c r="I426" s="1" t="s">
        <v>2885</v>
      </c>
      <c r="J426" s="1" t="s">
        <v>2886</v>
      </c>
      <c r="K426" s="1" t="s">
        <v>2887</v>
      </c>
      <c r="L426" s="11" t="s">
        <v>1770</v>
      </c>
      <c r="M426" s="1" t="s">
        <v>459</v>
      </c>
      <c r="N426" s="1" t="s">
        <v>42</v>
      </c>
      <c r="O426" s="1">
        <v>15.0</v>
      </c>
      <c r="P426" s="1">
        <v>15.0</v>
      </c>
      <c r="Q426" s="1">
        <v>0.0</v>
      </c>
      <c r="R426" s="1" t="s">
        <v>1088</v>
      </c>
      <c r="S426" s="1" t="s">
        <v>2888</v>
      </c>
      <c r="T426" s="1" t="s">
        <v>2885</v>
      </c>
      <c r="U426" s="1" t="s">
        <v>676</v>
      </c>
      <c r="V426" s="1" t="s">
        <v>46</v>
      </c>
      <c r="W426" s="1" t="s">
        <v>47</v>
      </c>
      <c r="X426" s="1" t="s">
        <v>48</v>
      </c>
      <c r="Y426" s="1" t="s">
        <v>49</v>
      </c>
      <c r="Z426" s="1" t="s">
        <v>50</v>
      </c>
      <c r="AA426" s="12">
        <v>15.0</v>
      </c>
      <c r="AB426" s="12">
        <f t="shared" si="2"/>
        <v>0.015</v>
      </c>
      <c r="AC426" s="13" t="s">
        <v>51</v>
      </c>
      <c r="AD426" s="13" t="s">
        <v>2884</v>
      </c>
      <c r="AE426" s="97" t="str">
        <v>EQ-0421</v>
      </c>
      <c r="AF426" s="98" t="str">
        <v>school bell amplifier</v>
      </c>
      <c r="AG426" s="98" t="str">
        <v>CONDITIONAL_MATCH</v>
      </c>
      <c r="AH426" s="98" t="str">
        <v>Match model or supported analogue, operating state, room allocation and all conditions in F. Use D/E only.</v>
      </c>
    </row>
    <row r="427">
      <c r="A427" s="1" t="s">
        <v>1081</v>
      </c>
      <c r="B427" s="1" t="s">
        <v>2889</v>
      </c>
      <c r="C427" s="13" t="s">
        <v>129</v>
      </c>
      <c r="D427" s="14">
        <v>15.2</v>
      </c>
      <c r="E427" s="14">
        <v>0.0</v>
      </c>
      <c r="F427" s="13" t="s">
        <v>2890</v>
      </c>
      <c r="G427" s="18">
        <v>15.2</v>
      </c>
      <c r="H427" s="19">
        <f t="shared" si="41"/>
        <v>0.0152</v>
      </c>
      <c r="I427" s="1" t="s">
        <v>2891</v>
      </c>
      <c r="J427" s="1" t="s">
        <v>2892</v>
      </c>
      <c r="K427" s="1" t="s">
        <v>2893</v>
      </c>
      <c r="L427" s="11" t="s">
        <v>2894</v>
      </c>
      <c r="M427" s="1" t="s">
        <v>1302</v>
      </c>
      <c r="N427" s="1" t="s">
        <v>42</v>
      </c>
      <c r="O427" s="1">
        <v>15.2</v>
      </c>
      <c r="P427" s="1">
        <v>15.2</v>
      </c>
      <c r="Q427" s="1">
        <v>0.0</v>
      </c>
      <c r="R427" s="1" t="s">
        <v>1088</v>
      </c>
      <c r="S427" s="1" t="s">
        <v>2895</v>
      </c>
      <c r="T427" s="1" t="s">
        <v>2891</v>
      </c>
      <c r="U427" s="1" t="s">
        <v>1304</v>
      </c>
      <c r="V427" s="1" t="s">
        <v>46</v>
      </c>
      <c r="W427" s="1" t="s">
        <v>47</v>
      </c>
      <c r="X427" s="1" t="s">
        <v>398</v>
      </c>
      <c r="Y427" s="1" t="s">
        <v>399</v>
      </c>
      <c r="Z427" s="1" t="s">
        <v>50</v>
      </c>
      <c r="AA427" s="12">
        <v>15.2</v>
      </c>
      <c r="AB427" s="12">
        <f t="shared" si="2"/>
        <v>0.0152</v>
      </c>
      <c r="AC427" s="13" t="s">
        <v>51</v>
      </c>
      <c r="AD427" s="13" t="s">
        <v>2890</v>
      </c>
      <c r="AE427" s="97" t="str">
        <v>EQ-0422</v>
      </c>
      <c r="AF427" s="98" t="str">
        <v>laboratory power supply</v>
      </c>
      <c r="AG427" s="98" t="str">
        <v>CONDITIONAL_MATCH</v>
      </c>
      <c r="AH427" s="98" t="str">
        <v>Match model or supported analogue, operating state, room allocation and all conditions in F. Use D/E only.</v>
      </c>
    </row>
    <row r="428">
      <c r="A428" s="1" t="s">
        <v>1081</v>
      </c>
      <c r="B428" s="1" t="s">
        <v>2896</v>
      </c>
      <c r="C428" s="13" t="s">
        <v>243</v>
      </c>
      <c r="D428" s="14" t="s">
        <v>67</v>
      </c>
      <c r="E428" s="14" t="s">
        <v>67</v>
      </c>
      <c r="F428" s="7" t="inlineStr">
        <is>
          <t>Further research required if this item is used in the project. NUMERIC EXAMPLE: 3.7 W (0.0037 kW); EXISTING REFERENCE — scope/state limits apply. TO COMPLETE: Number of voting terminals and central equipment/supply losses; room-by-room location and duplicate PoE/power checks. 3.70 W is for ONE discussion/voting terminal, not a complete voting installation. Conditional eventual sensible heat if all terminal power is released locally. Add separately located central equipment and supply/cable losses only where they occur, using actual quantities. Do not count terminal consumption again within a network-power total. D/E remain unknown; use documented project inputs in Room worksheet I:M once resolved.</t>
        </is>
      </c>
      <c r="G428" s="18">
        <v>3.7</v>
      </c>
      <c r="H428" s="19">
        <f t="shared" si="41"/>
        <v>0.0037</v>
      </c>
      <c r="I428" s="1" t="s">
        <v>2898</v>
      </c>
      <c r="J428" s="1" t="s">
        <v>2899</v>
      </c>
      <c r="K428" s="1" t="s">
        <v>2900</v>
      </c>
      <c r="L428" s="11" t="s">
        <v>2901</v>
      </c>
      <c r="M428" s="1" t="s">
        <v>459</v>
      </c>
      <c r="N428" s="1" t="s">
        <v>42</v>
      </c>
      <c r="O428" s="1">
        <v>3.7</v>
      </c>
      <c r="P428" s="1">
        <v>3.7</v>
      </c>
      <c r="Q428" s="1">
        <v>0.0</v>
      </c>
      <c r="R428" s="1" t="s">
        <v>1088</v>
      </c>
      <c r="S428" s="1" t="s">
        <v>2902</v>
      </c>
      <c r="T428" s="1" t="s">
        <v>2898</v>
      </c>
      <c r="U428" s="1" t="s">
        <v>809</v>
      </c>
      <c r="V428" s="1" t="s">
        <v>200</v>
      </c>
      <c r="W428" s="1" t="s">
        <v>2903</v>
      </c>
      <c r="X428" s="1" t="s">
        <v>48</v>
      </c>
      <c r="Y428" s="1" t="s">
        <v>49</v>
      </c>
      <c r="Z428" s="1" t="s">
        <v>50</v>
      </c>
      <c r="AA428" s="16">
        <v>3.7</v>
      </c>
      <c r="AB428" s="16">
        <f t="shared" si="2"/>
        <v>0.0037</v>
      </c>
      <c r="AC428" s="17" t="s">
        <v>201</v>
      </c>
      <c r="AD428" s="17" t="inlineStr">
        <is>
          <t>Further research required if this item is used in the project. Published per-device electrical consumption; controller/network supply separate 3.70 W is for ONE discussion/voting terminal, not a complete voting installation. Conditional eventual sensible heat if all terminal power is released locally. Add separately located central equipment and supply/cable losses only where they occur, using actual quantities. Do not count terminal consumption again within a network-power total. This retains the original reference, including any unresolved source limitations; it is not newly validated net room heat. REQUIRED: Number of voting terminals and central equipment/supply losses; room-by-room location and duplicate PoE/power checks.</t>
        </is>
      </c>
      <c r="AE428" s="97" t="str">
        <v>EQ-0423</v>
      </c>
      <c r="AF428" s="98" t="str">
        <v>electronic voting system</v>
      </c>
      <c r="AG428" s="98" t="str">
        <v>REFERENCE_ONLY</v>
      </c>
      <c r="AH428" s="98" t="str">
        <v>Do not auto-use reference wattage. Resolve the missing heat data or document a project estimate.</v>
      </c>
    </row>
    <row r="429">
      <c r="A429" s="1" t="s">
        <v>1081</v>
      </c>
      <c r="B429" s="1" t="s">
        <v>2905</v>
      </c>
      <c r="C429" s="13" t="s">
        <v>479</v>
      </c>
      <c r="D429" s="14" t="s">
        <v>67</v>
      </c>
      <c r="E429" s="14" t="s">
        <v>67</v>
      </c>
      <c r="F429" s="7" t="inlineStr">
        <is>
          <t>Further research required if this item is used in the project. USER-REQUESTED HYPOTHETICAL EXAMPLE: 20 W (0.02 kW). Illustrative twenty-headset station: assumed 1 W local charger/battery loss per headset ×20 =20 W; stored energy excluded. Assumed for illustration, not sourced or project-approved. Sensible/latent split unverified. TO COMPLETE: Headset and charger models, count and battery states; local charging and adapter losses. Need headset count, charger losses and battery states; microphone rack specifications are not a language-headset station. Reference link is supporting method/product context only; no numeric room-heat value established. D/E remain unknown; use documented project inputs in Room worksheet I:M once resolved.</t>
        </is>
      </c>
      <c r="G429" s="18" t="s">
        <v>616</v>
      </c>
      <c r="H429" s="19" t="s">
        <v>616</v>
      </c>
      <c r="I429" s="1" t="s">
        <v>617</v>
      </c>
      <c r="J429" s="1" t="s">
        <v>2907</v>
      </c>
      <c r="K429" s="1" t="s">
        <v>2908</v>
      </c>
      <c r="L429" s="11" t="s">
        <v>1696</v>
      </c>
      <c r="M429" s="1" t="s">
        <v>621</v>
      </c>
      <c r="N429" s="1" t="s">
        <v>42</v>
      </c>
      <c r="O429" s="1" t="s">
        <v>606</v>
      </c>
      <c r="P429" s="1" t="s">
        <v>486</v>
      </c>
      <c r="Q429" s="1" t="s">
        <v>486</v>
      </c>
      <c r="R429" s="1" t="s">
        <v>1088</v>
      </c>
      <c r="S429" s="1" t="s">
        <v>2909</v>
      </c>
      <c r="T429" s="1" t="s">
        <v>617</v>
      </c>
      <c r="U429" s="1" t="s">
        <v>1698</v>
      </c>
      <c r="V429" s="1" t="s">
        <v>200</v>
      </c>
      <c r="W429" s="1" t="s">
        <v>2910</v>
      </c>
      <c r="X429" s="1" t="s">
        <v>398</v>
      </c>
      <c r="Y429" s="1" t="s">
        <v>399</v>
      </c>
      <c r="Z429" s="1" t="s">
        <v>50</v>
      </c>
      <c r="AA429" s="16">
        <v>20.0</v>
      </c>
      <c r="AB429" s="16">
        <f t="shared" si="2"/>
        <v>0.02</v>
      </c>
      <c r="AC429" s="17" t="s">
        <v>623</v>
      </c>
      <c r="AD429" s="17" t="inlineStr">
        <is>
          <t>Further research required if this item is used in the project. Illustrative twenty-headset station: assumed 1 W local charger/battery loss per headset ×20 =20 W; stored energy excluded. REQUIRED: Headset and charger models, count and battery states; local charging and adapter losses.</t>
        </is>
      </c>
      <c r="AE429" s="97" t="str">
        <v>EQ-0424</v>
      </c>
      <c r="AF429" s="98" t="str">
        <v>language laboratory headset charging station</v>
      </c>
      <c r="AG429" s="98" t="str">
        <v>REFERENCE_ONLY</v>
      </c>
      <c r="AH429" s="98" t="str">
        <v>Do not auto-use reference wattage. Resolve the missing heat data or document a project estimate.</v>
      </c>
    </row>
    <row r="430">
      <c r="A430" s="1" t="s">
        <v>1081</v>
      </c>
      <c r="B430" s="1" t="s">
        <v>2912</v>
      </c>
      <c r="C430" s="13" t="s">
        <v>87</v>
      </c>
      <c r="D430" s="14">
        <v>27.0</v>
      </c>
      <c r="E430" s="14">
        <v>0.0</v>
      </c>
      <c r="F430" s="13" t="s">
        <v>2913</v>
      </c>
      <c r="G430" s="18">
        <v>27.0</v>
      </c>
      <c r="H430" s="19">
        <f>G430/1000</f>
        <v>0.027</v>
      </c>
      <c r="I430" s="1" t="s">
        <v>2914</v>
      </c>
      <c r="J430" s="1" t="s">
        <v>2915</v>
      </c>
      <c r="K430" s="1" t="s">
        <v>2916</v>
      </c>
      <c r="L430" s="11" t="s">
        <v>2917</v>
      </c>
      <c r="M430" s="1" t="s">
        <v>524</v>
      </c>
      <c r="N430" s="1" t="s">
        <v>42</v>
      </c>
      <c r="O430" s="1">
        <v>27.0</v>
      </c>
      <c r="P430" s="1">
        <v>27.0</v>
      </c>
      <c r="Q430" s="1">
        <v>0.0</v>
      </c>
      <c r="R430" s="1" t="s">
        <v>1088</v>
      </c>
      <c r="S430" s="1" t="s">
        <v>2918</v>
      </c>
      <c r="T430" s="1" t="s">
        <v>2914</v>
      </c>
      <c r="U430" s="1" t="s">
        <v>526</v>
      </c>
      <c r="V430" s="1" t="s">
        <v>46</v>
      </c>
      <c r="W430" s="1" t="s">
        <v>47</v>
      </c>
      <c r="X430" s="1" t="s">
        <v>48</v>
      </c>
      <c r="Y430" s="1" t="s">
        <v>49</v>
      </c>
      <c r="Z430" s="1" t="s">
        <v>50</v>
      </c>
      <c r="AA430" s="12">
        <v>27.0</v>
      </c>
      <c r="AB430" s="12">
        <f t="shared" si="2"/>
        <v>0.027</v>
      </c>
      <c r="AC430" s="13" t="s">
        <v>51</v>
      </c>
      <c r="AD430" s="13" t="s">
        <v>2913</v>
      </c>
      <c r="AE430" s="97" t="str">
        <v>EQ-0425</v>
      </c>
      <c r="AF430" s="98" t="str">
        <v>classroom document scanner</v>
      </c>
      <c r="AG430" s="98" t="str">
        <v>CONDITIONAL_MATCH</v>
      </c>
      <c r="AH430" s="98" t="str">
        <v>Match model or supported analogue, operating state, room allocation and all conditions in F. Use D/E only.</v>
      </c>
    </row>
    <row r="431">
      <c r="A431" s="1" t="s">
        <v>1081</v>
      </c>
      <c r="B431" s="1" t="s">
        <v>2919</v>
      </c>
      <c r="C431" s="13" t="s">
        <v>479</v>
      </c>
      <c r="D431" s="14" t="s">
        <v>67</v>
      </c>
      <c r="E431" s="14" t="s">
        <v>67</v>
      </c>
      <c r="F431" s="7" t="inlineStr">
        <is>
          <t>Further research required if this item is used in the project. USER-REQUESTED HYPOTHETICAL EXAMPLE: 50 W (0.05 kW). Illustrative ten-kit robotics station: assumed 5 W local charger/battery loss per kit ×10 =50 W; stored energy excluded. Assumed for illustration, not sourced or project-approved. Sensible/latent split unverified. TO COMPLETE: Robot kit batteries, chargers, quantities and charging duty; stored battery energy excluded from immediate heat. Need teaching-kit battery/charger model and quantities; charging output is stored energy, not immediate room heat. Reference link is supporting method/product context only; no numeric room-heat value established. D/E remain unknown; use documented project inputs in Room worksheet I:M once resolved.</t>
        </is>
      </c>
      <c r="G431" s="18" t="s">
        <v>616</v>
      </c>
      <c r="H431" s="19" t="s">
        <v>616</v>
      </c>
      <c r="I431" s="1" t="s">
        <v>617</v>
      </c>
      <c r="J431" s="1" t="s">
        <v>2921</v>
      </c>
      <c r="K431" s="1" t="s">
        <v>2922</v>
      </c>
      <c r="L431" s="11" t="s">
        <v>1696</v>
      </c>
      <c r="M431" s="1" t="s">
        <v>621</v>
      </c>
      <c r="N431" s="1" t="s">
        <v>42</v>
      </c>
      <c r="O431" s="1" t="s">
        <v>606</v>
      </c>
      <c r="P431" s="1" t="s">
        <v>486</v>
      </c>
      <c r="Q431" s="1" t="s">
        <v>486</v>
      </c>
      <c r="R431" s="1" t="s">
        <v>1088</v>
      </c>
      <c r="S431" s="1" t="s">
        <v>2923</v>
      </c>
      <c r="T431" s="1" t="s">
        <v>617</v>
      </c>
      <c r="U431" s="1" t="s">
        <v>1698</v>
      </c>
      <c r="V431" s="1" t="s">
        <v>200</v>
      </c>
      <c r="W431" s="1" t="s">
        <v>2924</v>
      </c>
      <c r="X431" s="1" t="s">
        <v>398</v>
      </c>
      <c r="Y431" s="1" t="s">
        <v>399</v>
      </c>
      <c r="Z431" s="1" t="s">
        <v>50</v>
      </c>
      <c r="AA431" s="16">
        <v>50.0</v>
      </c>
      <c r="AB431" s="16">
        <f t="shared" si="2"/>
        <v>0.05</v>
      </c>
      <c r="AC431" s="17" t="s">
        <v>623</v>
      </c>
      <c r="AD431" s="17" t="inlineStr">
        <is>
          <t>Further research required if this item is used in the project. Illustrative ten-kit robotics station: assumed 5 W local charger/battery loss per kit ×10 =50 W; stored energy excluded. REQUIRED: Robot kit batteries, chargers, quantities and charging duty; stored battery energy excluded from immediate heat.</t>
        </is>
      </c>
      <c r="AE431" s="97" t="str">
        <v>EQ-0426</v>
      </c>
      <c r="AF431" s="98" t="str">
        <v>robotics teaching kit charging station</v>
      </c>
      <c r="AG431" s="98" t="str">
        <v>REFERENCE_ONLY</v>
      </c>
      <c r="AH431" s="98" t="str">
        <v>Do not auto-use reference wattage. Resolve the missing heat data or document a project estimate.</v>
      </c>
    </row>
    <row r="432">
      <c r="A432" s="1" t="s">
        <v>1081</v>
      </c>
      <c r="B432" s="1" t="s">
        <v>2926</v>
      </c>
      <c r="C432" s="13" t="s">
        <v>35</v>
      </c>
      <c r="D432" s="14">
        <v>100.0</v>
      </c>
      <c r="E432" s="14">
        <v>0.0</v>
      </c>
      <c r="F432" s="13" t="s">
        <v>2927</v>
      </c>
      <c r="G432" s="18">
        <v>100.0</v>
      </c>
      <c r="H432" s="19">
        <f t="shared" ref="H432:H434" si="42">G432/1000</f>
        <v>0.1</v>
      </c>
      <c r="I432" s="1" t="s">
        <v>2928</v>
      </c>
      <c r="J432" s="1" t="s">
        <v>2929</v>
      </c>
      <c r="K432" s="1" t="s">
        <v>2930</v>
      </c>
      <c r="L432" s="11" t="s">
        <v>2931</v>
      </c>
      <c r="M432" s="1" t="s">
        <v>1302</v>
      </c>
      <c r="N432" s="1" t="s">
        <v>582</v>
      </c>
      <c r="O432" s="1" t="s">
        <v>2932</v>
      </c>
      <c r="P432" s="1">
        <v>100.0</v>
      </c>
      <c r="Q432" s="1">
        <v>0.0</v>
      </c>
      <c r="R432" s="1" t="s">
        <v>1088</v>
      </c>
      <c r="S432" s="1" t="s">
        <v>2933</v>
      </c>
      <c r="T432" s="1" t="s">
        <v>2928</v>
      </c>
      <c r="U432" s="1" t="s">
        <v>1304</v>
      </c>
      <c r="V432" s="1" t="s">
        <v>46</v>
      </c>
      <c r="W432" s="1" t="s">
        <v>47</v>
      </c>
      <c r="X432" s="1" t="s">
        <v>48</v>
      </c>
      <c r="Y432" s="1" t="s">
        <v>49</v>
      </c>
      <c r="Z432" s="1" t="s">
        <v>50</v>
      </c>
      <c r="AA432" s="12">
        <v>100.0</v>
      </c>
      <c r="AB432" s="12">
        <f t="shared" si="2"/>
        <v>0.1</v>
      </c>
      <c r="AC432" s="13" t="s">
        <v>51</v>
      </c>
      <c r="AD432" s="13" t="s">
        <v>2927</v>
      </c>
      <c r="AE432" s="97" t="str">
        <v>EQ-0427</v>
      </c>
      <c r="AF432" s="98" t="str">
        <v>educational robotics controller</v>
      </c>
      <c r="AG432" s="98" t="str">
        <v>CONDITIONAL_MATCH</v>
      </c>
      <c r="AH432" s="98" t="str">
        <v>Match model or supported analogue, operating state, room allocation and all conditions in F. Use D/E only.</v>
      </c>
    </row>
    <row r="433">
      <c r="A433" s="1" t="s">
        <v>1081</v>
      </c>
      <c r="B433" s="1" t="s">
        <v>2934</v>
      </c>
      <c r="C433" s="13" t="s">
        <v>87</v>
      </c>
      <c r="D433" s="14">
        <v>95.0</v>
      </c>
      <c r="E433" s="14">
        <v>0.0</v>
      </c>
      <c r="F433" s="13" t="s">
        <v>1479</v>
      </c>
      <c r="G433" s="18">
        <v>95.0</v>
      </c>
      <c r="H433" s="19">
        <f t="shared" si="42"/>
        <v>0.095</v>
      </c>
      <c r="I433" s="1" t="s">
        <v>1480</v>
      </c>
      <c r="J433" s="1" t="s">
        <v>1481</v>
      </c>
      <c r="K433" s="1" t="s">
        <v>1482</v>
      </c>
      <c r="L433" s="11" t="s">
        <v>1483</v>
      </c>
      <c r="M433" s="1" t="s">
        <v>459</v>
      </c>
      <c r="N433" s="1" t="s">
        <v>42</v>
      </c>
      <c r="O433" s="1">
        <v>95.0</v>
      </c>
      <c r="P433" s="1">
        <v>95.0</v>
      </c>
      <c r="Q433" s="1">
        <v>0.0</v>
      </c>
      <c r="R433" s="1" t="s">
        <v>1088</v>
      </c>
      <c r="S433" s="1" t="s">
        <v>1484</v>
      </c>
      <c r="T433" s="1" t="s">
        <v>1480</v>
      </c>
      <c r="U433" s="1" t="s">
        <v>461</v>
      </c>
      <c r="V433" s="1" t="s">
        <v>46</v>
      </c>
      <c r="W433" s="1" t="s">
        <v>47</v>
      </c>
      <c r="X433" s="1" t="s">
        <v>48</v>
      </c>
      <c r="Y433" s="1" t="s">
        <v>49</v>
      </c>
      <c r="Z433" s="1" t="s">
        <v>50</v>
      </c>
      <c r="AA433" s="12">
        <v>95.0</v>
      </c>
      <c r="AB433" s="12">
        <f t="shared" si="2"/>
        <v>0.095</v>
      </c>
      <c r="AC433" s="13" t="s">
        <v>51</v>
      </c>
      <c r="AD433" s="13" t="s">
        <v>1479</v>
      </c>
      <c r="AE433" s="97" t="str">
        <v>EQ-0428</v>
      </c>
      <c r="AF433" s="98" t="str">
        <v>cnc teaching machine</v>
      </c>
      <c r="AG433" s="98" t="str">
        <v>CONDITIONAL_MATCH</v>
      </c>
      <c r="AH433" s="98" t="str">
        <v>Match model or supported analogue, operating state, room allocation and all conditions in F. Use D/E only.</v>
      </c>
    </row>
    <row r="434">
      <c r="A434" s="1" t="s">
        <v>1081</v>
      </c>
      <c r="B434" s="1" t="s">
        <v>2935</v>
      </c>
      <c r="C434" s="13" t="s">
        <v>243</v>
      </c>
      <c r="D434" s="14" t="s">
        <v>67</v>
      </c>
      <c r="E434" s="14" t="s">
        <v>67</v>
      </c>
      <c r="F434" s="7" t="inlineStr">
        <is>
          <t>Further research required if this item is used in the project. NUMERIC EXAMPLE: 83 W (0.083 kW); EXISTING REFERENCE — scope/state limits apply. TO COMPLETE: Actual bench inventory and simultaneous operating state; replace mixed-average/peak component subtotal with a consistent load basis. Explicit illustrative subtotal: ASHRAE 2025 Ch18 laboratory table, 72 W-nameplate oscilloscope 38 W average + function generator 29 W average; miscellaneous equipment table soldering station 16 W peak 15-minute heat = 83 W. Mixed test bases, not a measured simultaneous bench load. Excludes computer, power supplies, test circuits, extraction and occupants; do not count component rows again. D/E remain unknown; use documented project inputs in Room worksheet I:M once resolved.</t>
        </is>
      </c>
      <c r="G434" s="18">
        <v>83.0</v>
      </c>
      <c r="H434" s="19">
        <f t="shared" si="42"/>
        <v>0.083</v>
      </c>
      <c r="I434" s="1" t="s">
        <v>2937</v>
      </c>
      <c r="J434" s="1" t="s">
        <v>2938</v>
      </c>
      <c r="K434" s="1" t="s">
        <v>2939</v>
      </c>
      <c r="L434" s="11" t="s">
        <v>943</v>
      </c>
      <c r="M434" s="1" t="s">
        <v>1302</v>
      </c>
      <c r="N434" s="1" t="s">
        <v>42</v>
      </c>
      <c r="O434" s="1" t="s">
        <v>2940</v>
      </c>
      <c r="P434" s="1">
        <v>83.0</v>
      </c>
      <c r="Q434" s="1">
        <v>0.0</v>
      </c>
      <c r="R434" s="1" t="s">
        <v>1088</v>
      </c>
      <c r="S434" s="1" t="s">
        <v>2941</v>
      </c>
      <c r="T434" s="1" t="s">
        <v>2937</v>
      </c>
      <c r="U434" s="1" t="s">
        <v>1551</v>
      </c>
      <c r="V434" s="1" t="s">
        <v>200</v>
      </c>
      <c r="W434" s="1" t="s">
        <v>2942</v>
      </c>
      <c r="X434" s="1" t="s">
        <v>48</v>
      </c>
      <c r="Y434" s="1" t="s">
        <v>49</v>
      </c>
      <c r="Z434" s="1" t="s">
        <v>50</v>
      </c>
      <c r="AA434" s="16">
        <v>83.0</v>
      </c>
      <c r="AB434" s="16">
        <f t="shared" si="2"/>
        <v>0.083</v>
      </c>
      <c r="AC434" s="17" t="s">
        <v>201</v>
      </c>
      <c r="AD434" s="17" t="inlineStr">
        <is>
          <t>Further research required if this item is used in the project. Reference component subtotal, not complete bench Explicit illustrative subtotal: ASHRAE 2025 Ch18 laboratory table, 72 W-nameplate oscilloscope 38 W average + function generator 29 W average; miscellaneous equipment table soldering station 16 W peak 15-minute heat = 83 W. Mixed test bases, not a measured simultaneous bench load. Excludes computer, power supplies, test circuits, extraction and occupants; do not count component rows again. This retains the original reference, including any unresolved source limitations; it is not newly validated net room heat. REQUIRED: Actual bench inventory and simultaneous operating state; replace mixed-average/peak component subtotal with a consistent load basis.</t>
        </is>
      </c>
      <c r="AE434" s="97" t="str">
        <v>EQ-0429</v>
      </c>
      <c r="AF434" s="98" t="str">
        <v>electronics teaching workbench</v>
      </c>
      <c r="AG434" s="98" t="str">
        <v>REFERENCE_ONLY</v>
      </c>
      <c r="AH434" s="98" t="str">
        <v>Do not auto-use reference wattage. Resolve the missing heat data or document a project estimate.</v>
      </c>
    </row>
    <row r="435">
      <c r="A435" s="1" t="s">
        <v>1081</v>
      </c>
      <c r="B435" s="1" t="s">
        <v>2944</v>
      </c>
      <c r="C435" s="13" t="s">
        <v>479</v>
      </c>
      <c r="D435" s="14" t="s">
        <v>67</v>
      </c>
      <c r="E435" s="14" t="s">
        <v>67</v>
      </c>
      <c r="F435" s="7" t="inlineStr">
        <is>
          <t>Further research required if this item is used in the project. NUMERIC EXAMPLE: 650 W (0.65 kW); ELECTRICAL INPUT — not established room heat. TO COMPLETE: Hotplate process temperature/duty, vessel, evaporation and hood capture; net local sensible/latent release. Room heat depends on vessel, evaporation, extraction and duty cycle. Electrical rating is not a room gain. D/E remain unknown; use documented project inputs in Room worksheet I:M once resolved.</t>
        </is>
      </c>
      <c r="G435" s="18" t="s">
        <v>616</v>
      </c>
      <c r="H435" s="19" t="s">
        <v>616</v>
      </c>
      <c r="I435" s="1" t="s">
        <v>1283</v>
      </c>
      <c r="J435" s="1" t="s">
        <v>2946</v>
      </c>
      <c r="K435" s="1" t="s">
        <v>1285</v>
      </c>
      <c r="L435" s="11" t="s">
        <v>1286</v>
      </c>
      <c r="M435" s="1" t="s">
        <v>485</v>
      </c>
      <c r="N435" s="1" t="s">
        <v>42</v>
      </c>
      <c r="O435" s="1">
        <v>650.0</v>
      </c>
      <c r="P435" s="1" t="s">
        <v>486</v>
      </c>
      <c r="Q435" s="1" t="s">
        <v>486</v>
      </c>
      <c r="R435" s="1" t="s">
        <v>1088</v>
      </c>
      <c r="S435" s="1" t="s">
        <v>1287</v>
      </c>
      <c r="T435" s="1" t="s">
        <v>1283</v>
      </c>
      <c r="U435" s="1" t="s">
        <v>1717</v>
      </c>
      <c r="V435" s="1" t="s">
        <v>200</v>
      </c>
      <c r="W435" s="1" t="s">
        <v>2947</v>
      </c>
      <c r="X435" s="1" t="s">
        <v>48</v>
      </c>
      <c r="Y435" s="1" t="s">
        <v>49</v>
      </c>
      <c r="Z435" s="1" t="s">
        <v>50</v>
      </c>
      <c r="AA435" s="16">
        <v>650.0</v>
      </c>
      <c r="AB435" s="16">
        <f t="shared" si="2"/>
        <v>0.65</v>
      </c>
      <c r="AC435" s="17" t="s">
        <v>878</v>
      </c>
      <c r="AD435" s="17" t="inlineStr">
        <is>
          <t>Further research required if this item is used in the project. Existing electrical reference for Chemistry hotplate: 650 W. Room heat depends on vessel, evaporation, extraction and duty cycle. Electrical rating is not a room gain. This is not a measured sensible/latent room load. Only a closed energy balance can justify equating it to eventual total heat; external steam, refrigerant, fluid, work, storage and exhaust can change that result. REQUIRED: Hotplate process temperature/duty, vessel, evaporation and hood capture; net local sensible/latent release.</t>
        </is>
      </c>
      <c r="AE435" s="97" t="str">
        <v>EQ-0430</v>
      </c>
      <c r="AF435" s="98" t="str">
        <v>chemistry hotplate</v>
      </c>
      <c r="AG435" s="98" t="str">
        <v>REFERENCE_ONLY</v>
      </c>
      <c r="AH435" s="98" t="str">
        <v>Do not auto-use reference wattage. Resolve the missing heat data or document a project estimate.</v>
      </c>
    </row>
    <row r="436">
      <c r="A436" s="1" t="s">
        <v>1081</v>
      </c>
      <c r="B436" s="1" t="s">
        <v>2949</v>
      </c>
      <c r="C436" s="13" t="s">
        <v>129</v>
      </c>
      <c r="D436" s="14">
        <v>15.2</v>
      </c>
      <c r="E436" s="14">
        <v>0.0</v>
      </c>
      <c r="F436" s="13" t="s">
        <v>2890</v>
      </c>
      <c r="G436" s="18">
        <v>15.2</v>
      </c>
      <c r="H436" s="19">
        <f t="shared" ref="H436:H443" si="43">G436/1000</f>
        <v>0.0152</v>
      </c>
      <c r="I436" s="1" t="s">
        <v>2891</v>
      </c>
      <c r="J436" s="1" t="s">
        <v>2892</v>
      </c>
      <c r="K436" s="1" t="s">
        <v>2893</v>
      </c>
      <c r="L436" s="11" t="s">
        <v>2894</v>
      </c>
      <c r="M436" s="1" t="s">
        <v>1302</v>
      </c>
      <c r="N436" s="1" t="s">
        <v>42</v>
      </c>
      <c r="O436" s="1">
        <v>15.2</v>
      </c>
      <c r="P436" s="1">
        <v>15.2</v>
      </c>
      <c r="Q436" s="1">
        <v>0.0</v>
      </c>
      <c r="R436" s="1" t="s">
        <v>1088</v>
      </c>
      <c r="S436" s="1" t="s">
        <v>2895</v>
      </c>
      <c r="T436" s="1" t="s">
        <v>2891</v>
      </c>
      <c r="U436" s="1" t="s">
        <v>1304</v>
      </c>
      <c r="V436" s="1" t="s">
        <v>46</v>
      </c>
      <c r="W436" s="1" t="s">
        <v>47</v>
      </c>
      <c r="X436" s="1" t="s">
        <v>398</v>
      </c>
      <c r="Y436" s="1" t="s">
        <v>399</v>
      </c>
      <c r="Z436" s="1" t="s">
        <v>50</v>
      </c>
      <c r="AA436" s="12">
        <v>15.2</v>
      </c>
      <c r="AB436" s="12">
        <f t="shared" si="2"/>
        <v>0.0152</v>
      </c>
      <c r="AC436" s="13" t="s">
        <v>51</v>
      </c>
      <c r="AD436" s="13" t="s">
        <v>2890</v>
      </c>
      <c r="AE436" s="97" t="str">
        <v>EQ-0431</v>
      </c>
      <c r="AF436" s="98" t="str">
        <v>physics demonstration power supply</v>
      </c>
      <c r="AG436" s="98" t="str">
        <v>CONDITIONAL_MATCH</v>
      </c>
      <c r="AH436" s="98" t="str">
        <v>Match model or supported analogue, operating state, room allocation and all conditions in F. Use D/E only.</v>
      </c>
    </row>
    <row r="437">
      <c r="A437" s="1" t="s">
        <v>1081</v>
      </c>
      <c r="B437" s="1" t="s">
        <v>2950</v>
      </c>
      <c r="C437" s="13" t="s">
        <v>35</v>
      </c>
      <c r="D437" s="14">
        <v>170.0</v>
      </c>
      <c r="E437" s="14">
        <v>0.0</v>
      </c>
      <c r="F437" s="13" t="s">
        <v>2951</v>
      </c>
      <c r="G437" s="18">
        <v>170.0</v>
      </c>
      <c r="H437" s="19">
        <f t="shared" si="43"/>
        <v>0.17</v>
      </c>
      <c r="I437" s="1" t="s">
        <v>2952</v>
      </c>
      <c r="J437" s="1" t="s">
        <v>2953</v>
      </c>
      <c r="K437" s="1" t="s">
        <v>2954</v>
      </c>
      <c r="L437" s="11" t="s">
        <v>2955</v>
      </c>
      <c r="M437" s="1" t="s">
        <v>459</v>
      </c>
      <c r="N437" s="1" t="s">
        <v>42</v>
      </c>
      <c r="O437" s="1">
        <v>170.0</v>
      </c>
      <c r="P437" s="1">
        <v>170.0</v>
      </c>
      <c r="Q437" s="1">
        <v>0.0</v>
      </c>
      <c r="R437" s="1" t="s">
        <v>1088</v>
      </c>
      <c r="S437" s="1" t="s">
        <v>2956</v>
      </c>
      <c r="T437" s="1" t="s">
        <v>2952</v>
      </c>
      <c r="U437" s="1" t="s">
        <v>461</v>
      </c>
      <c r="V437" s="1" t="s">
        <v>46</v>
      </c>
      <c r="W437" s="1" t="s">
        <v>47</v>
      </c>
      <c r="X437" s="1" t="s">
        <v>48</v>
      </c>
      <c r="Y437" s="1" t="s">
        <v>49</v>
      </c>
      <c r="Z437" s="1" t="s">
        <v>50</v>
      </c>
      <c r="AA437" s="12">
        <v>170.0</v>
      </c>
      <c r="AB437" s="12">
        <f t="shared" si="2"/>
        <v>0.17</v>
      </c>
      <c r="AC437" s="13" t="s">
        <v>51</v>
      </c>
      <c r="AD437" s="13" t="s">
        <v>2951</v>
      </c>
      <c r="AE437" s="97" t="str">
        <v>EQ-0432</v>
      </c>
      <c r="AF437" s="98" t="str">
        <v>digital microscope</v>
      </c>
      <c r="AG437" s="98" t="str">
        <v>CONDITIONAL_MATCH</v>
      </c>
      <c r="AH437" s="98" t="str">
        <v>Match model or supported analogue, operating state, room allocation and all conditions in F. Use D/E only.</v>
      </c>
    </row>
    <row r="438">
      <c r="A438" s="1" t="s">
        <v>1081</v>
      </c>
      <c r="B438" s="1" t="s">
        <v>2957</v>
      </c>
      <c r="C438" s="13" t="s">
        <v>87</v>
      </c>
      <c r="D438" s="14">
        <v>5.0</v>
      </c>
      <c r="E438" s="14">
        <v>0.0</v>
      </c>
      <c r="F438" s="13" t="s">
        <v>2958</v>
      </c>
      <c r="G438" s="18">
        <v>5.0</v>
      </c>
      <c r="H438" s="19">
        <f t="shared" si="43"/>
        <v>0.005</v>
      </c>
      <c r="I438" s="1" t="s">
        <v>2959</v>
      </c>
      <c r="J438" s="1" t="s">
        <v>2960</v>
      </c>
      <c r="K438" s="1" t="s">
        <v>2961</v>
      </c>
      <c r="L438" s="11" t="s">
        <v>2962</v>
      </c>
      <c r="M438" s="1" t="s">
        <v>524</v>
      </c>
      <c r="N438" s="1" t="s">
        <v>42</v>
      </c>
      <c r="O438" s="1">
        <v>5.0</v>
      </c>
      <c r="P438" s="1">
        <v>5.0</v>
      </c>
      <c r="Q438" s="1">
        <v>0.0</v>
      </c>
      <c r="R438" s="1" t="s">
        <v>1088</v>
      </c>
      <c r="S438" s="1" t="s">
        <v>2963</v>
      </c>
      <c r="T438" s="1" t="s">
        <v>2959</v>
      </c>
      <c r="U438" s="1" t="s">
        <v>526</v>
      </c>
      <c r="V438" s="1" t="s">
        <v>46</v>
      </c>
      <c r="W438" s="1" t="s">
        <v>47</v>
      </c>
      <c r="X438" s="1" t="s">
        <v>48</v>
      </c>
      <c r="Y438" s="1" t="s">
        <v>49</v>
      </c>
      <c r="Z438" s="1" t="s">
        <v>50</v>
      </c>
      <c r="AA438" s="12">
        <v>5.0</v>
      </c>
      <c r="AB438" s="12">
        <f t="shared" si="2"/>
        <v>0.005</v>
      </c>
      <c r="AC438" s="13" t="s">
        <v>51</v>
      </c>
      <c r="AD438" s="13" t="s">
        <v>2958</v>
      </c>
      <c r="AE438" s="97" t="str">
        <v>EQ-0433</v>
      </c>
      <c r="AF438" s="98" t="str">
        <v>music keyboard</v>
      </c>
      <c r="AG438" s="98" t="str">
        <v>CONDITIONAL_MATCH</v>
      </c>
      <c r="AH438" s="98" t="str">
        <v>Match model or supported analogue, operating state, room allocation and all conditions in F. Use D/E only.</v>
      </c>
    </row>
    <row r="439">
      <c r="A439" s="1" t="s">
        <v>1081</v>
      </c>
      <c r="B439" s="1" t="s">
        <v>2964</v>
      </c>
      <c r="C439" s="13" t="s">
        <v>87</v>
      </c>
      <c r="D439" s="14">
        <v>6.0</v>
      </c>
      <c r="E439" s="14">
        <v>0.0</v>
      </c>
      <c r="F439" s="13" t="s">
        <v>2965</v>
      </c>
      <c r="G439" s="18">
        <v>6.0</v>
      </c>
      <c r="H439" s="19">
        <f t="shared" si="43"/>
        <v>0.006</v>
      </c>
      <c r="I439" s="1" t="s">
        <v>2966</v>
      </c>
      <c r="J439" s="1" t="s">
        <v>2967</v>
      </c>
      <c r="K439" s="1" t="s">
        <v>2968</v>
      </c>
      <c r="L439" s="11" t="s">
        <v>2969</v>
      </c>
      <c r="M439" s="1" t="s">
        <v>524</v>
      </c>
      <c r="N439" s="1" t="s">
        <v>42</v>
      </c>
      <c r="O439" s="1">
        <v>6.0</v>
      </c>
      <c r="P439" s="1">
        <v>6.0</v>
      </c>
      <c r="Q439" s="1">
        <v>0.0</v>
      </c>
      <c r="R439" s="1" t="s">
        <v>1088</v>
      </c>
      <c r="S439" s="1" t="s">
        <v>2970</v>
      </c>
      <c r="T439" s="1" t="s">
        <v>2966</v>
      </c>
      <c r="U439" s="1" t="s">
        <v>526</v>
      </c>
      <c r="V439" s="1" t="s">
        <v>46</v>
      </c>
      <c r="W439" s="1" t="s">
        <v>47</v>
      </c>
      <c r="X439" s="1" t="s">
        <v>48</v>
      </c>
      <c r="Y439" s="1" t="s">
        <v>49</v>
      </c>
      <c r="Z439" s="1" t="s">
        <v>50</v>
      </c>
      <c r="AA439" s="12">
        <v>6.0</v>
      </c>
      <c r="AB439" s="12">
        <f t="shared" si="2"/>
        <v>0.006</v>
      </c>
      <c r="AC439" s="13" t="s">
        <v>51</v>
      </c>
      <c r="AD439" s="13" t="s">
        <v>2965</v>
      </c>
      <c r="AE439" s="97" t="str">
        <v>EQ-0434</v>
      </c>
      <c r="AF439" s="98" t="str">
        <v>digital piano</v>
      </c>
      <c r="AG439" s="98" t="str">
        <v>CONDITIONAL_MATCH</v>
      </c>
      <c r="AH439" s="98" t="str">
        <v>Match model or supported analogue, operating state, room allocation and all conditions in F. Use D/E only.</v>
      </c>
    </row>
    <row r="440">
      <c r="A440" s="1" t="s">
        <v>1081</v>
      </c>
      <c r="B440" s="1" t="s">
        <v>2971</v>
      </c>
      <c r="C440" s="7" t="s">
        <v>1313</v>
      </c>
      <c r="D440" s="8">
        <v>30.0</v>
      </c>
      <c r="E440" s="8">
        <v>0.0</v>
      </c>
      <c r="F440" s="7" t="s">
        <v>2972</v>
      </c>
      <c r="G440" s="18">
        <v>30.0</v>
      </c>
      <c r="H440" s="19">
        <f t="shared" si="43"/>
        <v>0.03</v>
      </c>
      <c r="I440" s="1" t="s">
        <v>2973</v>
      </c>
      <c r="J440" s="1" t="s">
        <v>2972</v>
      </c>
      <c r="K440" s="1" t="s">
        <v>2974</v>
      </c>
      <c r="L440" s="11" t="s">
        <v>2975</v>
      </c>
      <c r="M440" s="1" t="s">
        <v>1810</v>
      </c>
      <c r="N440" s="1" t="s">
        <v>42</v>
      </c>
      <c r="O440" s="1">
        <v>30.0</v>
      </c>
      <c r="P440" s="1">
        <v>30.0</v>
      </c>
      <c r="Q440" s="1">
        <v>0.0</v>
      </c>
      <c r="R440" s="1" t="s">
        <v>1088</v>
      </c>
      <c r="S440" s="1" t="s">
        <v>2976</v>
      </c>
      <c r="T440" s="1" t="s">
        <v>2973</v>
      </c>
      <c r="U440" s="1" t="s">
        <v>1812</v>
      </c>
      <c r="V440" s="1" t="s">
        <v>46</v>
      </c>
      <c r="W440" s="1" t="s">
        <v>47</v>
      </c>
      <c r="X440" s="1" t="s">
        <v>48</v>
      </c>
      <c r="Y440" s="1" t="s">
        <v>49</v>
      </c>
      <c r="Z440" s="1" t="s">
        <v>50</v>
      </c>
      <c r="AA440" s="12">
        <v>30.0</v>
      </c>
      <c r="AB440" s="12">
        <f t="shared" si="2"/>
        <v>0.03</v>
      </c>
      <c r="AC440" s="13" t="s">
        <v>51</v>
      </c>
      <c r="AD440" s="13" t="s">
        <v>2972</v>
      </c>
      <c r="AE440" s="97" t="str">
        <v>EQ-0435</v>
      </c>
      <c r="AF440" s="98" t="str">
        <v>electronic drum kit</v>
      </c>
      <c r="AG440" s="98" t="str">
        <v>CONDITIONAL_MATCH</v>
      </c>
      <c r="AH440" s="98" t="str">
        <v>Match model or supported analogue, operating state, room allocation and all conditions in F. Use D/E only.</v>
      </c>
    </row>
    <row r="441">
      <c r="A441" s="1" t="s">
        <v>1081</v>
      </c>
      <c r="B441" s="1" t="s">
        <v>2977</v>
      </c>
      <c r="C441" s="13" t="s">
        <v>87</v>
      </c>
      <c r="D441" s="14">
        <v>20.0</v>
      </c>
      <c r="E441" s="14">
        <v>0.0</v>
      </c>
      <c r="F441" s="13" t="s">
        <v>2978</v>
      </c>
      <c r="G441" s="18">
        <v>20.0</v>
      </c>
      <c r="H441" s="19">
        <f t="shared" si="43"/>
        <v>0.02</v>
      </c>
      <c r="I441" s="1" t="s">
        <v>2979</v>
      </c>
      <c r="J441" s="1" t="s">
        <v>2980</v>
      </c>
      <c r="K441" s="1" t="s">
        <v>2981</v>
      </c>
      <c r="L441" s="11" t="s">
        <v>2982</v>
      </c>
      <c r="M441" s="1" t="s">
        <v>459</v>
      </c>
      <c r="N441" s="1" t="s">
        <v>42</v>
      </c>
      <c r="O441" s="1">
        <v>20.0</v>
      </c>
      <c r="P441" s="1">
        <v>20.0</v>
      </c>
      <c r="Q441" s="1">
        <v>0.0</v>
      </c>
      <c r="R441" s="1" t="s">
        <v>1088</v>
      </c>
      <c r="S441" s="1" t="s">
        <v>2983</v>
      </c>
      <c r="T441" s="1" t="s">
        <v>2979</v>
      </c>
      <c r="U441" s="1" t="s">
        <v>461</v>
      </c>
      <c r="V441" s="1" t="s">
        <v>46</v>
      </c>
      <c r="W441" s="1" t="s">
        <v>47</v>
      </c>
      <c r="X441" s="1" t="s">
        <v>48</v>
      </c>
      <c r="Y441" s="1" t="s">
        <v>49</v>
      </c>
      <c r="Z441" s="1" t="s">
        <v>50</v>
      </c>
      <c r="AA441" s="12">
        <v>20.0</v>
      </c>
      <c r="AB441" s="12">
        <f t="shared" si="2"/>
        <v>0.02</v>
      </c>
      <c r="AC441" s="13" t="s">
        <v>51</v>
      </c>
      <c r="AD441" s="13" t="s">
        <v>2978</v>
      </c>
      <c r="AE441" s="97" t="str">
        <v>EQ-0436</v>
      </c>
      <c r="AF441" s="98" t="str">
        <v>recording studio audio interface</v>
      </c>
      <c r="AG441" s="98" t="str">
        <v>CONDITIONAL_MATCH</v>
      </c>
      <c r="AH441" s="98" t="str">
        <v>Match model or supported analogue, operating state, room allocation and all conditions in F. Use D/E only.</v>
      </c>
    </row>
    <row r="442">
      <c r="A442" s="1" t="s">
        <v>1081</v>
      </c>
      <c r="B442" s="1" t="s">
        <v>2984</v>
      </c>
      <c r="C442" s="13" t="s">
        <v>87</v>
      </c>
      <c r="D442" s="14">
        <v>11.0</v>
      </c>
      <c r="E442" s="14">
        <v>0.0</v>
      </c>
      <c r="F442" s="13" t="s">
        <v>2985</v>
      </c>
      <c r="G442" s="18">
        <v>11.0</v>
      </c>
      <c r="H442" s="19">
        <f t="shared" si="43"/>
        <v>0.011</v>
      </c>
      <c r="I442" s="1" t="s">
        <v>2986</v>
      </c>
      <c r="J442" s="1" t="s">
        <v>2987</v>
      </c>
      <c r="K442" s="1" t="s">
        <v>2988</v>
      </c>
      <c r="L442" s="11" t="s">
        <v>2989</v>
      </c>
      <c r="M442" s="1" t="s">
        <v>524</v>
      </c>
      <c r="N442" s="1" t="s">
        <v>42</v>
      </c>
      <c r="O442" s="1">
        <v>11.0</v>
      </c>
      <c r="P442" s="1">
        <v>11.0</v>
      </c>
      <c r="Q442" s="1">
        <v>0.0</v>
      </c>
      <c r="R442" s="1" t="s">
        <v>1088</v>
      </c>
      <c r="S442" s="1" t="s">
        <v>2990</v>
      </c>
      <c r="T442" s="1" t="s">
        <v>2986</v>
      </c>
      <c r="U442" s="1" t="s">
        <v>526</v>
      </c>
      <c r="V442" s="1" t="s">
        <v>46</v>
      </c>
      <c r="W442" s="1" t="s">
        <v>47</v>
      </c>
      <c r="X442" s="1" t="s">
        <v>48</v>
      </c>
      <c r="Y442" s="1" t="s">
        <v>49</v>
      </c>
      <c r="Z442" s="1" t="s">
        <v>50</v>
      </c>
      <c r="AA442" s="12">
        <v>11.0</v>
      </c>
      <c r="AB442" s="12">
        <f t="shared" si="2"/>
        <v>0.011</v>
      </c>
      <c r="AC442" s="13" t="s">
        <v>51</v>
      </c>
      <c r="AD442" s="13" t="s">
        <v>2985</v>
      </c>
      <c r="AE442" s="97" t="str">
        <v>EQ-0437</v>
      </c>
      <c r="AF442" s="98" t="str">
        <v>practice-room digital amplifier</v>
      </c>
      <c r="AG442" s="98" t="str">
        <v>CONDITIONAL_MATCH</v>
      </c>
      <c r="AH442" s="98" t="str">
        <v>Match model or supported analogue, operating state, room allocation and all conditions in F. Use D/E only.</v>
      </c>
    </row>
    <row r="443">
      <c r="A443" s="1" t="s">
        <v>1081</v>
      </c>
      <c r="B443" s="1" t="s">
        <v>2991</v>
      </c>
      <c r="C443" s="13" t="s">
        <v>87</v>
      </c>
      <c r="D443" s="14">
        <v>130.0</v>
      </c>
      <c r="E443" s="14">
        <v>0.0</v>
      </c>
      <c r="F443" s="13" t="s">
        <v>2992</v>
      </c>
      <c r="G443" s="18">
        <v>130.0</v>
      </c>
      <c r="H443" s="19">
        <f t="shared" si="43"/>
        <v>0.13</v>
      </c>
      <c r="I443" s="1" t="s">
        <v>2993</v>
      </c>
      <c r="J443" s="1" t="s">
        <v>2994</v>
      </c>
      <c r="K443" s="1" t="s">
        <v>2995</v>
      </c>
      <c r="L443" s="11" t="s">
        <v>2996</v>
      </c>
      <c r="M443" s="1" t="s">
        <v>459</v>
      </c>
      <c r="N443" s="1" t="s">
        <v>42</v>
      </c>
      <c r="O443" s="1">
        <v>130.0</v>
      </c>
      <c r="P443" s="1">
        <v>130.0</v>
      </c>
      <c r="Q443" s="1">
        <v>0.0</v>
      </c>
      <c r="R443" s="1" t="s">
        <v>1088</v>
      </c>
      <c r="S443" s="1" t="s">
        <v>2997</v>
      </c>
      <c r="T443" s="1" t="s">
        <v>2993</v>
      </c>
      <c r="U443" s="1" t="s">
        <v>676</v>
      </c>
      <c r="V443" s="1" t="s">
        <v>46</v>
      </c>
      <c r="W443" s="1" t="s">
        <v>47</v>
      </c>
      <c r="X443" s="1" t="s">
        <v>48</v>
      </c>
      <c r="Y443" s="1" t="s">
        <v>49</v>
      </c>
      <c r="Z443" s="1" t="s">
        <v>50</v>
      </c>
      <c r="AA443" s="12">
        <v>130.0</v>
      </c>
      <c r="AB443" s="12">
        <f t="shared" si="2"/>
        <v>0.13</v>
      </c>
      <c r="AC443" s="13" t="s">
        <v>51</v>
      </c>
      <c r="AD443" s="13" t="s">
        <v>2992</v>
      </c>
      <c r="AE443" s="97" t="str">
        <v>EQ-0438</v>
      </c>
      <c r="AF443" s="98" t="str">
        <v>library self-service borrowing kiosk</v>
      </c>
      <c r="AG443" s="98" t="str">
        <v>CONDITIONAL_MATCH</v>
      </c>
      <c r="AH443" s="98" t="str">
        <v>Match model or supported analogue, operating state, room allocation and all conditions in F. Use D/E only.</v>
      </c>
    </row>
    <row r="444">
      <c r="A444" s="1" t="s">
        <v>1081</v>
      </c>
      <c r="B444" s="1" t="s">
        <v>2998</v>
      </c>
      <c r="C444" s="13" t="s">
        <v>479</v>
      </c>
      <c r="D444" s="14" t="s">
        <v>67</v>
      </c>
      <c r="E444" s="14" t="s">
        <v>67</v>
      </c>
      <c r="F444" s="7" t="inlineStr">
        <is>
          <t>Further research required if this item is used in the project. USER-REQUESTED HYPOTHETICAL EXAMPLE: 500 W (0.5 kW). Illustrative book sorter: assumed five modules each dissipating 100 W =500 W; actual module count, book throughput and duty must replace the example. Assumed for illustration, not sourced or project-approved. Sensible/latent split unverified. TO COMPLETE: Actual sorter modules/drives, layout and books/hour; power in idle/sorting states and mechanical heat destination. Need sorter module/drive count, layout and books/hour. Modular library sorter has no single configuration-independent load. Reference link is supporting method/product context only; no numeric room-heat value established. D/E remain unknown; use documented project inputs in Room worksheet I:M once resolved.</t>
        </is>
      </c>
      <c r="G444" s="18" t="s">
        <v>616</v>
      </c>
      <c r="H444" s="19" t="s">
        <v>616</v>
      </c>
      <c r="I444" s="1" t="s">
        <v>617</v>
      </c>
      <c r="J444" s="1" t="s">
        <v>3000</v>
      </c>
      <c r="K444" s="1" t="s">
        <v>3001</v>
      </c>
      <c r="L444" s="11" t="s">
        <v>3002</v>
      </c>
      <c r="M444" s="1" t="s">
        <v>621</v>
      </c>
      <c r="N444" s="1" t="s">
        <v>42</v>
      </c>
      <c r="O444" s="1" t="s">
        <v>606</v>
      </c>
      <c r="P444" s="1" t="s">
        <v>486</v>
      </c>
      <c r="Q444" s="1" t="s">
        <v>486</v>
      </c>
      <c r="R444" s="1" t="s">
        <v>1088</v>
      </c>
      <c r="S444" s="1" t="s">
        <v>3003</v>
      </c>
      <c r="T444" s="1" t="s">
        <v>617</v>
      </c>
      <c r="U444" s="1" t="s">
        <v>1698</v>
      </c>
      <c r="V444" s="1" t="s">
        <v>200</v>
      </c>
      <c r="W444" s="1" t="s">
        <v>3004</v>
      </c>
      <c r="X444" s="1" t="s">
        <v>1202</v>
      </c>
      <c r="Y444" s="1" t="s">
        <v>1203</v>
      </c>
      <c r="Z444" s="1" t="s">
        <v>50</v>
      </c>
      <c r="AA444" s="16">
        <v>500.0</v>
      </c>
      <c r="AB444" s="16">
        <f t="shared" si="2"/>
        <v>0.5</v>
      </c>
      <c r="AC444" s="17" t="s">
        <v>623</v>
      </c>
      <c r="AD444" s="17" t="inlineStr">
        <is>
          <t>Further research required if this item is used in the project. Illustrative book sorter: assumed five modules each dissipating 100 W =500 W; actual module count, book throughput and duty must replace the example. REQUIRED: Actual sorter modules/drives, layout and books/hour; power in idle/sorting states and mechanical heat destination.</t>
        </is>
      </c>
      <c r="AE444" s="97" t="str">
        <v>EQ-0439</v>
      </c>
      <c r="AF444" s="98" t="str">
        <v>library book sorter</v>
      </c>
      <c r="AG444" s="98" t="str">
        <v>REFERENCE_ONLY</v>
      </c>
      <c r="AH444" s="98" t="str">
        <v>Do not auto-use reference wattage. Resolve the missing heat data or document a project estimate.</v>
      </c>
    </row>
    <row r="445">
      <c r="A445" s="1" t="s">
        <v>1081</v>
      </c>
      <c r="B445" s="1" t="s">
        <v>3006</v>
      </c>
      <c r="C445" s="13" t="s">
        <v>87</v>
      </c>
      <c r="D445" s="14">
        <v>100.0</v>
      </c>
      <c r="E445" s="14">
        <v>0.0</v>
      </c>
      <c r="F445" s="13" t="s">
        <v>3007</v>
      </c>
      <c r="G445" s="18">
        <v>100.0</v>
      </c>
      <c r="H445" s="19">
        <f t="shared" ref="H445:H447" si="44">G445/1000</f>
        <v>0.1</v>
      </c>
      <c r="I445" s="1" t="s">
        <v>3008</v>
      </c>
      <c r="J445" s="1" t="s">
        <v>3009</v>
      </c>
      <c r="K445" s="1" t="s">
        <v>3010</v>
      </c>
      <c r="L445" s="11" t="s">
        <v>3011</v>
      </c>
      <c r="M445" s="1" t="s">
        <v>459</v>
      </c>
      <c r="N445" s="1" t="s">
        <v>42</v>
      </c>
      <c r="O445" s="1">
        <v>100.0</v>
      </c>
      <c r="P445" s="1">
        <v>100.0</v>
      </c>
      <c r="Q445" s="1">
        <v>0.0</v>
      </c>
      <c r="R445" s="1" t="s">
        <v>1088</v>
      </c>
      <c r="S445" s="1" t="s">
        <v>3012</v>
      </c>
      <c r="T445" s="1" t="s">
        <v>3008</v>
      </c>
      <c r="U445" s="1" t="s">
        <v>676</v>
      </c>
      <c r="V445" s="1" t="s">
        <v>46</v>
      </c>
      <c r="W445" s="1" t="s">
        <v>47</v>
      </c>
      <c r="X445" s="1" t="s">
        <v>48</v>
      </c>
      <c r="Y445" s="1" t="s">
        <v>49</v>
      </c>
      <c r="Z445" s="1" t="s">
        <v>50</v>
      </c>
      <c r="AA445" s="12">
        <v>100.0</v>
      </c>
      <c r="AB445" s="12">
        <f t="shared" si="2"/>
        <v>0.1</v>
      </c>
      <c r="AC445" s="13" t="s">
        <v>51</v>
      </c>
      <c r="AD445" s="13" t="s">
        <v>3007</v>
      </c>
      <c r="AE445" s="97" t="str">
        <v>EQ-0440</v>
      </c>
      <c r="AF445" s="98" t="str">
        <v>automated book return machine</v>
      </c>
      <c r="AG445" s="98" t="str">
        <v>CONDITIONAL_MATCH</v>
      </c>
      <c r="AH445" s="98" t="str">
        <v>Match model or supported analogue, operating state, room allocation and all conditions in F. Use D/E only.</v>
      </c>
    </row>
    <row r="446">
      <c r="A446" s="1" t="s">
        <v>1081</v>
      </c>
      <c r="B446" s="1" t="s">
        <v>3013</v>
      </c>
      <c r="C446" s="7" t="s">
        <v>3014</v>
      </c>
      <c r="D446" s="8">
        <v>800.0</v>
      </c>
      <c r="E446" s="8">
        <v>0.0</v>
      </c>
      <c r="F446" s="7" t="s">
        <v>3015</v>
      </c>
      <c r="G446" s="18">
        <v>800.0</v>
      </c>
      <c r="H446" s="19">
        <f t="shared" si="44"/>
        <v>0.8</v>
      </c>
      <c r="I446" s="1" t="s">
        <v>3016</v>
      </c>
      <c r="J446" s="1" t="s">
        <v>3015</v>
      </c>
      <c r="K446" s="1" t="s">
        <v>3017</v>
      </c>
      <c r="L446" s="11" t="s">
        <v>3018</v>
      </c>
      <c r="M446" s="1" t="s">
        <v>2541</v>
      </c>
      <c r="N446" s="1" t="s">
        <v>42</v>
      </c>
      <c r="O446" s="1">
        <v>800.0</v>
      </c>
      <c r="P446" s="1">
        <v>800.0</v>
      </c>
      <c r="Q446" s="1">
        <v>0.0</v>
      </c>
      <c r="R446" s="1" t="s">
        <v>1088</v>
      </c>
      <c r="S446" s="1" t="s">
        <v>3019</v>
      </c>
      <c r="T446" s="1" t="s">
        <v>3016</v>
      </c>
      <c r="U446" s="1" t="s">
        <v>2543</v>
      </c>
      <c r="V446" s="1" t="s">
        <v>2544</v>
      </c>
      <c r="W446" s="1" t="s">
        <v>2545</v>
      </c>
      <c r="X446" s="1" t="s">
        <v>591</v>
      </c>
      <c r="Y446" s="1" t="s">
        <v>592</v>
      </c>
      <c r="Z446" s="1" t="s">
        <v>50</v>
      </c>
      <c r="AA446" s="12">
        <v>800.0</v>
      </c>
      <c r="AB446" s="12">
        <f t="shared" si="2"/>
        <v>0.8</v>
      </c>
      <c r="AC446" s="13" t="s">
        <v>51</v>
      </c>
      <c r="AD446" s="13" t="s">
        <v>3015</v>
      </c>
      <c r="AE446" s="97" t="str">
        <v>EQ-0441</v>
      </c>
      <c r="AF446" s="98" t="str">
        <v>3d printing farm</v>
      </c>
      <c r="AG446" s="98" t="str">
        <v>CONDITIONAL_MATCH</v>
      </c>
      <c r="AH446" s="98" t="str">
        <v>Match model or supported analogue, operating state, room allocation and all conditions in F. Use D/E only.</v>
      </c>
    </row>
    <row r="447">
      <c r="A447" s="1" t="s">
        <v>1081</v>
      </c>
      <c r="B447" s="1" t="s">
        <v>3020</v>
      </c>
      <c r="C447" s="13" t="s">
        <v>243</v>
      </c>
      <c r="D447" s="14" t="s">
        <v>67</v>
      </c>
      <c r="E447" s="14" t="s">
        <v>67</v>
      </c>
      <c r="F447" s="7" t="inlineStr">
        <is>
          <t>Further research required if this item is used in the project. NUMERIC EXAMPLE: 20 W (0.02 kW); EXISTING REFERENCE — scope/state limits apply. TO COMPLETE: Manufacturer-confirmed FHC12 package boundary and real local loss; external actuator/PSU and exhaust allocation separately. 24 VDC version lists 20 W maximum. Treat as an upper local sensible-heat allowance if all consumed energy remains in the room; not measured typical heat. Controller package boundary must be confirmed. External PSU losses, actuator, lights and fan separate; do not add powered peripherals twice. 40 VA AC version is not 40 W. D/E remain unknown; use documented project inputs in Room worksheet I:M once resolved.</t>
        </is>
      </c>
      <c r="G447" s="18">
        <v>20.0</v>
      </c>
      <c r="H447" s="19">
        <f t="shared" si="44"/>
        <v>0.02</v>
      </c>
      <c r="I447" s="1" t="s">
        <v>3022</v>
      </c>
      <c r="J447" s="1" t="s">
        <v>3023</v>
      </c>
      <c r="K447" s="1" t="s">
        <v>3024</v>
      </c>
      <c r="L447" s="11" t="s">
        <v>3025</v>
      </c>
      <c r="M447" s="1" t="s">
        <v>1302</v>
      </c>
      <c r="N447" s="1" t="s">
        <v>582</v>
      </c>
      <c r="O447" s="1">
        <v>20.0</v>
      </c>
      <c r="P447" s="1">
        <v>20.0</v>
      </c>
      <c r="Q447" s="1">
        <v>0.0</v>
      </c>
      <c r="R447" s="1" t="s">
        <v>1088</v>
      </c>
      <c r="S447" s="1" t="s">
        <v>3026</v>
      </c>
      <c r="T447" s="1" t="s">
        <v>3022</v>
      </c>
      <c r="U447" s="1" t="s">
        <v>1304</v>
      </c>
      <c r="V447" s="1" t="s">
        <v>200</v>
      </c>
      <c r="W447" s="1" t="s">
        <v>3027</v>
      </c>
      <c r="X447" s="1" t="s">
        <v>152</v>
      </c>
      <c r="Y447" s="1" t="s">
        <v>153</v>
      </c>
      <c r="Z447" s="1" t="s">
        <v>50</v>
      </c>
      <c r="AA447" s="16">
        <v>20.0</v>
      </c>
      <c r="AB447" s="16">
        <f t="shared" si="2"/>
        <v>0.02</v>
      </c>
      <c r="AC447" s="17" t="s">
        <v>201</v>
      </c>
      <c r="AD447" s="17" t="inlineStr">
        <is>
          <t>Further research required if this item is used in the project. Conditional upper heat allowance from maximum DC input 24 VDC version lists 20 W maximum. Treat as an upper local sensible-heat allowance if all consumed energy remains in the room; not measured typical heat. Controller package boundary must be confirmed. External PSU losses, actuator, lights and fan separate; do not add powered peripherals twice. 40 VA AC version is not 40 W. This retains the original reference, including any unresolved source limitations; it is not newly validated net room heat. REQUIRED: Manufacturer-confirmed FHC12 package boundary and real local loss; external actuator/PSU and exhaust allocation separately.</t>
        </is>
      </c>
      <c r="AE447" s="97" t="str">
        <v>EQ-0442</v>
      </c>
      <c r="AF447" s="98" t="str">
        <v>science laboratory extraction controller</v>
      </c>
      <c r="AG447" s="98" t="str">
        <v>REFERENCE_ONLY</v>
      </c>
      <c r="AH447" s="98" t="str">
        <v>Do not auto-use reference wattage. Resolve the missing heat data or document a project estimate.</v>
      </c>
    </row>
  </sheetData>
  <autoFilter ref="A5:AH447"/>
  <mergeCells count="3">
    <mergeCell ref="A1:F1"/>
    <mergeCell ref="A2:F2"/>
    <mergeCell ref="A3:F3"/>
  </mergeCells>
  <conditionalFormatting sqref="C6:F447">
    <cfRule type="expression" dxfId="0" priority="1" stopIfTrue="1">
      <formula>LEFT($C6,7)="BLOCKED"</formula>
    </cfRule>
  </conditionalFormatting>
  <conditionalFormatting sqref="C6:F447">
    <cfRule type="expression" dxfId="1" priority="2" stopIfTrue="1">
      <formula>LEFT($C6,11)="PRELIMINARY"</formula>
    </cfRule>
  </conditionalFormatting>
  <conditionalFormatting sqref="C6:F447">
    <cfRule type="expression" dxfId="2" priority="3" stopIfTrue="1">
      <formula>LEFT($C6,11)="CONDITIONAL"</formula>
    </cfRule>
  </conditionalFormatting>
  <dataValidations count="1">
    <dataValidation type="list" sqref="AG6:AG447">
      <formula1>"CONDITIONAL_MATCH,ESTIMATE_ONLY,REFERENCE_ONLY"</formula1>
    </dataValidation>
  </dataValidations>
  <hyperlinks>
    <hyperlink r:id="rId1" ref="L6"/>
    <hyperlink r:id="rId2" ref="L7"/>
    <hyperlink r:id="rId3" ref="L11"/>
    <hyperlink r:id="rId4" ref="L12"/>
    <hyperlink r:id="rId5" ref="L22"/>
    <hyperlink r:id="rId6" ref="L27"/>
    <hyperlink r:id="rId7" ref="L28"/>
    <hyperlink r:id="rId8" ref="L29"/>
    <hyperlink r:id="rId9" ref="L31"/>
    <hyperlink r:id="rId10" ref="L32"/>
    <hyperlink r:id="rId11" ref="L33"/>
    <hyperlink r:id="rId12" ref="L34"/>
    <hyperlink r:id="rId13" ref="L35"/>
    <hyperlink r:id="rId14" ref="L36"/>
    <hyperlink r:id="rId15" ref="L37"/>
    <hyperlink r:id="rId16" ref="L38"/>
    <hyperlink r:id="rId17" ref="L39"/>
    <hyperlink r:id="rId18" ref="L40"/>
    <hyperlink r:id="rId19" ref="L41"/>
    <hyperlink r:id="rId20" ref="L42"/>
    <hyperlink r:id="rId21" ref="L43"/>
    <hyperlink r:id="rId22" ref="L44"/>
    <hyperlink r:id="rId23" ref="L45"/>
    <hyperlink r:id="rId24" ref="L46"/>
    <hyperlink r:id="rId25" ref="L47"/>
    <hyperlink r:id="rId26" ref="L48"/>
    <hyperlink r:id="rId27" ref="L49"/>
    <hyperlink r:id="rId28" ref="L50"/>
    <hyperlink r:id="rId29" ref="L51"/>
    <hyperlink r:id="rId30" ref="L52"/>
    <hyperlink r:id="rId31" ref="L53"/>
    <hyperlink r:id="rId32" ref="L54"/>
    <hyperlink r:id="rId33" ref="L55"/>
    <hyperlink r:id="rId34" ref="L56"/>
    <hyperlink r:id="rId35" ref="L57"/>
    <hyperlink r:id="rId36" ref="L58"/>
    <hyperlink r:id="rId37" ref="L59"/>
    <hyperlink r:id="rId38" ref="L60"/>
    <hyperlink r:id="rId39" ref="L61"/>
    <hyperlink r:id="rId40" ref="L62"/>
    <hyperlink r:id="rId41" ref="L63"/>
    <hyperlink r:id="rId42" ref="L64"/>
    <hyperlink r:id="rId43" ref="L65"/>
    <hyperlink r:id="rId44" ref="L66"/>
    <hyperlink r:id="rId45" ref="L67"/>
    <hyperlink r:id="rId46" ref="L68"/>
    <hyperlink r:id="rId47" ref="L69"/>
    <hyperlink r:id="rId48" ref="L70"/>
    <hyperlink r:id="rId49" ref="L71"/>
    <hyperlink r:id="rId50" ref="L72"/>
    <hyperlink r:id="rId51" ref="L73"/>
    <hyperlink r:id="rId52" ref="L74"/>
    <hyperlink r:id="rId53" ref="L75"/>
    <hyperlink r:id="rId54" ref="L76"/>
    <hyperlink r:id="rId55" ref="L77"/>
    <hyperlink r:id="rId56" ref="L78"/>
    <hyperlink r:id="rId57" ref="L79"/>
    <hyperlink r:id="rId58" ref="L80"/>
    <hyperlink r:id="rId59" ref="L81"/>
    <hyperlink r:id="rId60" ref="L82"/>
    <hyperlink r:id="rId61" ref="L83"/>
    <hyperlink r:id="rId62" ref="L84"/>
    <hyperlink r:id="rId63" ref="L85"/>
    <hyperlink r:id="rId64" ref="L86"/>
    <hyperlink r:id="rId65" ref="L87"/>
    <hyperlink r:id="rId66" ref="L88"/>
    <hyperlink r:id="rId67" ref="L89"/>
    <hyperlink r:id="rId68" ref="L90"/>
    <hyperlink r:id="rId69" ref="L91"/>
    <hyperlink r:id="rId70" ref="L92"/>
    <hyperlink r:id="rId71" ref="L93"/>
    <hyperlink r:id="rId72" ref="L94"/>
    <hyperlink r:id="rId73" ref="L95"/>
    <hyperlink r:id="rId74" ref="L96"/>
    <hyperlink r:id="rId75" ref="L97"/>
    <hyperlink r:id="rId76" ref="L98"/>
    <hyperlink r:id="rId77" ref="L99"/>
    <hyperlink r:id="rId78" ref="L100"/>
    <hyperlink r:id="rId79" ref="L101"/>
    <hyperlink r:id="rId80" ref="L102"/>
    <hyperlink r:id="rId81" ref="L103"/>
    <hyperlink r:id="rId82" ref="L105"/>
    <hyperlink r:id="rId83" ref="L106"/>
    <hyperlink r:id="rId84" ref="L107"/>
    <hyperlink r:id="rId85" ref="L108"/>
    <hyperlink r:id="rId86" ref="L109"/>
    <hyperlink r:id="rId87" ref="L110"/>
    <hyperlink r:id="rId88" ref="L111"/>
    <hyperlink r:id="rId89" ref="L112"/>
    <hyperlink r:id="rId90" ref="L113"/>
    <hyperlink r:id="rId91" ref="L114"/>
    <hyperlink r:id="rId92" ref="L115"/>
    <hyperlink r:id="rId93" ref="L116"/>
    <hyperlink r:id="rId94" ref="L117"/>
    <hyperlink r:id="rId95" ref="L118"/>
    <hyperlink r:id="rId96" ref="L119"/>
    <hyperlink r:id="rId97" ref="L120"/>
    <hyperlink r:id="rId98" ref="L121"/>
    <hyperlink r:id="rId99" ref="L122"/>
    <hyperlink r:id="rId100" ref="L123"/>
    <hyperlink r:id="rId101" ref="L124"/>
    <hyperlink r:id="rId102" ref="L125"/>
    <hyperlink r:id="rId103" ref="L126"/>
    <hyperlink r:id="rId104" ref="L127"/>
    <hyperlink r:id="rId105" ref="L128"/>
    <hyperlink r:id="rId106" ref="L129"/>
    <hyperlink r:id="rId107" ref="L130"/>
    <hyperlink r:id="rId108" ref="L131"/>
    <hyperlink r:id="rId109" ref="L132"/>
    <hyperlink r:id="rId110" ref="L133"/>
    <hyperlink r:id="rId111" ref="L134"/>
    <hyperlink r:id="rId112" ref="L135"/>
    <hyperlink r:id="rId113" ref="L136"/>
    <hyperlink r:id="rId114" ref="L137"/>
    <hyperlink r:id="rId115" ref="L138"/>
    <hyperlink r:id="rId116" ref="L139"/>
    <hyperlink r:id="rId117" ref="L140"/>
    <hyperlink r:id="rId118" ref="L141"/>
    <hyperlink r:id="rId119" ref="L142"/>
    <hyperlink r:id="rId120" ref="L143"/>
    <hyperlink r:id="rId121" ref="L144"/>
    <hyperlink r:id="rId122" ref="L145"/>
    <hyperlink r:id="rId123" ref="L146"/>
    <hyperlink r:id="rId124" ref="L147"/>
    <hyperlink r:id="rId125" ref="L148"/>
    <hyperlink r:id="rId126" ref="L149"/>
    <hyperlink r:id="rId127" ref="L150"/>
    <hyperlink r:id="rId128" ref="L151"/>
    <hyperlink r:id="rId129" ref="L152"/>
    <hyperlink r:id="rId130" ref="L153"/>
    <hyperlink r:id="rId131" ref="L154"/>
    <hyperlink r:id="rId132" ref="L155"/>
    <hyperlink r:id="rId133" ref="L156"/>
    <hyperlink r:id="rId134" ref="L157"/>
    <hyperlink r:id="rId135" ref="L158"/>
    <hyperlink r:id="rId136" ref="L159"/>
    <hyperlink r:id="rId137" ref="L160"/>
    <hyperlink r:id="rId138" ref="L161"/>
    <hyperlink r:id="rId139" ref="L162"/>
    <hyperlink r:id="rId140" ref="L163"/>
    <hyperlink r:id="rId141" ref="L164"/>
    <hyperlink r:id="rId142" ref="L165"/>
    <hyperlink r:id="rId143" ref="L166"/>
    <hyperlink r:id="rId144" ref="L167"/>
    <hyperlink r:id="rId145" ref="L168"/>
    <hyperlink r:id="rId146" ref="L169"/>
    <hyperlink r:id="rId147" ref="L170"/>
    <hyperlink r:id="rId148" ref="L171"/>
    <hyperlink r:id="rId149" ref="L172"/>
    <hyperlink r:id="rId150" ref="L173"/>
    <hyperlink r:id="rId151" ref="L174"/>
    <hyperlink r:id="rId152" ref="L175"/>
    <hyperlink r:id="rId153" ref="L176"/>
    <hyperlink r:id="rId154" ref="L177"/>
    <hyperlink r:id="rId155" ref="L178"/>
    <hyperlink r:id="rId156" ref="L179"/>
    <hyperlink r:id="rId157" ref="L180"/>
    <hyperlink r:id="rId158" ref="L181"/>
    <hyperlink r:id="rId159" ref="L182"/>
    <hyperlink r:id="rId160" ref="L183"/>
    <hyperlink r:id="rId161" ref="L184"/>
    <hyperlink r:id="rId162" ref="L185"/>
    <hyperlink r:id="rId163" ref="L186"/>
    <hyperlink r:id="rId164" ref="L187"/>
    <hyperlink r:id="rId165" ref="L188"/>
    <hyperlink r:id="rId166" ref="L189"/>
    <hyperlink r:id="rId167" ref="L190"/>
    <hyperlink r:id="rId168" ref="L191"/>
    <hyperlink r:id="rId169" ref="L192"/>
    <hyperlink r:id="rId170" ref="L193"/>
    <hyperlink r:id="rId171" ref="L194"/>
    <hyperlink r:id="rId172" ref="L195"/>
    <hyperlink r:id="rId173" ref="L196"/>
    <hyperlink r:id="rId174" ref="L197"/>
    <hyperlink r:id="rId175" ref="L198"/>
    <hyperlink r:id="rId176" ref="L199"/>
    <hyperlink r:id="rId177" ref="L200"/>
    <hyperlink r:id="rId178" ref="L201"/>
    <hyperlink r:id="rId179" ref="L202"/>
    <hyperlink r:id="rId180" ref="L203"/>
    <hyperlink r:id="rId181" ref="L204"/>
    <hyperlink r:id="rId182" ref="L205"/>
    <hyperlink r:id="rId183" ref="L206"/>
    <hyperlink r:id="rId184" ref="L207"/>
    <hyperlink r:id="rId185" ref="L208"/>
    <hyperlink r:id="rId186" ref="L209"/>
    <hyperlink r:id="rId187" ref="L210"/>
    <hyperlink r:id="rId188" ref="L211"/>
    <hyperlink r:id="rId189" ref="L212"/>
    <hyperlink r:id="rId190" ref="L213"/>
    <hyperlink r:id="rId191" ref="L214"/>
    <hyperlink r:id="rId192" ref="L215"/>
    <hyperlink r:id="rId193" ref="L216"/>
    <hyperlink r:id="rId194" ref="L217"/>
    <hyperlink r:id="rId195" ref="L218"/>
    <hyperlink r:id="rId196" ref="L219"/>
    <hyperlink r:id="rId197" ref="L220"/>
    <hyperlink r:id="rId198" ref="L221"/>
    <hyperlink r:id="rId199" ref="L222"/>
    <hyperlink r:id="rId200" ref="L223"/>
    <hyperlink r:id="rId201" ref="L224"/>
    <hyperlink r:id="rId202" ref="L225"/>
    <hyperlink r:id="rId203" ref="L226"/>
    <hyperlink r:id="rId204" ref="L227"/>
    <hyperlink r:id="rId205" ref="L228"/>
    <hyperlink r:id="rId206" ref="L229"/>
    <hyperlink r:id="rId207" ref="L230"/>
    <hyperlink r:id="rId208" ref="L231"/>
    <hyperlink r:id="rId209" ref="L232"/>
    <hyperlink r:id="rId210" ref="L233"/>
    <hyperlink r:id="rId211" ref="L234"/>
    <hyperlink r:id="rId212" ref="L235"/>
    <hyperlink r:id="rId213" ref="L236"/>
    <hyperlink r:id="rId214" ref="L237"/>
    <hyperlink r:id="rId215" ref="L238"/>
    <hyperlink r:id="rId216" ref="L239"/>
    <hyperlink r:id="rId217" ref="L240"/>
    <hyperlink r:id="rId218" ref="L241"/>
    <hyperlink r:id="rId219" ref="L242"/>
    <hyperlink r:id="rId220" ref="L243"/>
    <hyperlink r:id="rId221" ref="L244"/>
    <hyperlink r:id="rId222" ref="L245"/>
    <hyperlink r:id="rId223" ref="L246"/>
    <hyperlink r:id="rId224" ref="L247"/>
    <hyperlink r:id="rId225" ref="L248"/>
    <hyperlink r:id="rId226" ref="L249"/>
    <hyperlink r:id="rId227" ref="L250"/>
    <hyperlink r:id="rId228" ref="L251"/>
    <hyperlink r:id="rId229" ref="L252"/>
    <hyperlink r:id="rId230" ref="L253"/>
    <hyperlink r:id="rId231" ref="L254"/>
    <hyperlink r:id="rId232" ref="L255"/>
    <hyperlink r:id="rId233" ref="L256"/>
    <hyperlink r:id="rId234" ref="L257"/>
    <hyperlink r:id="rId235" ref="L258"/>
    <hyperlink r:id="rId236" ref="L259"/>
    <hyperlink r:id="rId237" ref="L260"/>
    <hyperlink r:id="rId238" ref="L261"/>
    <hyperlink r:id="rId239" ref="L262"/>
    <hyperlink r:id="rId240" ref="L263"/>
    <hyperlink r:id="rId241" ref="L264"/>
    <hyperlink r:id="rId242" ref="L265"/>
    <hyperlink r:id="rId243" ref="L266"/>
    <hyperlink r:id="rId244" ref="L267"/>
    <hyperlink r:id="rId245" ref="L268"/>
    <hyperlink r:id="rId246" ref="L269"/>
    <hyperlink r:id="rId247" ref="L270"/>
    <hyperlink r:id="rId248" ref="L271"/>
    <hyperlink r:id="rId249" ref="L272"/>
    <hyperlink r:id="rId250" ref="L273"/>
    <hyperlink r:id="rId251" ref="L274"/>
    <hyperlink r:id="rId252" ref="L275"/>
    <hyperlink r:id="rId253" ref="L276"/>
    <hyperlink r:id="rId254" ref="L277"/>
    <hyperlink r:id="rId255" ref="L278"/>
    <hyperlink r:id="rId256" ref="L279"/>
    <hyperlink r:id="rId257" ref="L280"/>
    <hyperlink r:id="rId258" ref="L281"/>
    <hyperlink r:id="rId259" ref="L282"/>
    <hyperlink r:id="rId260" ref="L283"/>
    <hyperlink r:id="rId261" ref="L284"/>
    <hyperlink r:id="rId262" ref="L285"/>
    <hyperlink r:id="rId263" ref="L286"/>
    <hyperlink r:id="rId264" ref="L287"/>
    <hyperlink r:id="rId265" ref="L288"/>
    <hyperlink r:id="rId266" ref="L289"/>
    <hyperlink r:id="rId267" ref="L290"/>
    <hyperlink r:id="rId268" ref="L291"/>
    <hyperlink r:id="rId269" ref="L292"/>
    <hyperlink r:id="rId270" ref="L293"/>
    <hyperlink r:id="rId271" ref="L294"/>
    <hyperlink r:id="rId272" ref="L295"/>
    <hyperlink r:id="rId273" ref="L296"/>
    <hyperlink r:id="rId274" ref="L297"/>
    <hyperlink r:id="rId275" ref="L298"/>
    <hyperlink r:id="rId276" ref="L299"/>
    <hyperlink r:id="rId277" ref="L300"/>
    <hyperlink r:id="rId278" ref="L301"/>
    <hyperlink r:id="rId279" ref="L302"/>
    <hyperlink r:id="rId280" ref="L303"/>
    <hyperlink r:id="rId281" ref="L304"/>
    <hyperlink r:id="rId282" ref="L305"/>
    <hyperlink r:id="rId283" ref="L306"/>
    <hyperlink r:id="rId284" ref="L307"/>
    <hyperlink r:id="rId285" ref="L308"/>
    <hyperlink r:id="rId286" ref="L309"/>
    <hyperlink r:id="rId287" ref="L310"/>
    <hyperlink r:id="rId288" ref="L311"/>
    <hyperlink r:id="rId289" ref="L312"/>
    <hyperlink r:id="rId290" ref="L313"/>
    <hyperlink r:id="rId291" ref="L314"/>
    <hyperlink r:id="rId292" ref="L315"/>
    <hyperlink r:id="rId293" ref="L316"/>
    <hyperlink r:id="rId294" ref="L317"/>
    <hyperlink r:id="rId295" ref="L318"/>
    <hyperlink r:id="rId296" ref="L319"/>
    <hyperlink r:id="rId297" ref="L320"/>
    <hyperlink r:id="rId298" ref="L321"/>
    <hyperlink r:id="rId299" ref="L322"/>
    <hyperlink r:id="rId300" ref="L323"/>
    <hyperlink r:id="rId301" ref="L324"/>
    <hyperlink r:id="rId302" ref="L325"/>
    <hyperlink r:id="rId303" ref="L326"/>
    <hyperlink r:id="rId304" ref="L327"/>
    <hyperlink r:id="rId305" ref="L328"/>
    <hyperlink r:id="rId306" ref="L329"/>
    <hyperlink r:id="rId307" ref="L330"/>
    <hyperlink r:id="rId308" ref="L331"/>
    <hyperlink r:id="rId309" ref="L332"/>
    <hyperlink r:id="rId310" ref="L333"/>
    <hyperlink r:id="rId311" ref="L334"/>
    <hyperlink r:id="rId312" ref="L335"/>
    <hyperlink r:id="rId313" ref="L336"/>
    <hyperlink r:id="rId314" ref="L337"/>
    <hyperlink r:id="rId315" ref="L338"/>
    <hyperlink r:id="rId316" ref="L339"/>
    <hyperlink r:id="rId317" ref="L340"/>
    <hyperlink r:id="rId318" ref="L341"/>
    <hyperlink r:id="rId319" ref="L342"/>
    <hyperlink r:id="rId320" ref="L343"/>
    <hyperlink r:id="rId321" ref="L344"/>
    <hyperlink r:id="rId322" ref="L345"/>
    <hyperlink r:id="rId323" ref="L346"/>
    <hyperlink r:id="rId324" ref="L347"/>
    <hyperlink r:id="rId325" ref="L348"/>
    <hyperlink r:id="rId326" ref="L349"/>
    <hyperlink r:id="rId327" ref="L350"/>
    <hyperlink r:id="rId328" ref="L351"/>
    <hyperlink r:id="rId329" ref="L352"/>
    <hyperlink r:id="rId330" ref="L353"/>
    <hyperlink r:id="rId331" ref="L354"/>
    <hyperlink r:id="rId332" ref="L355"/>
    <hyperlink r:id="rId333" ref="L356"/>
    <hyperlink r:id="rId334" ref="L357"/>
    <hyperlink r:id="rId335" ref="L358"/>
    <hyperlink r:id="rId336" ref="L359"/>
    <hyperlink r:id="rId337" ref="L360"/>
    <hyperlink r:id="rId338" ref="L361"/>
    <hyperlink r:id="rId339" ref="L362"/>
    <hyperlink r:id="rId340" ref="L363"/>
    <hyperlink r:id="rId341" ref="L364"/>
    <hyperlink r:id="rId342" ref="L365"/>
    <hyperlink r:id="rId343" ref="L366"/>
    <hyperlink r:id="rId344" ref="L367"/>
    <hyperlink r:id="rId345" ref="L368"/>
    <hyperlink r:id="rId346" ref="L369"/>
    <hyperlink r:id="rId347" ref="L370"/>
    <hyperlink r:id="rId348" ref="L371"/>
    <hyperlink r:id="rId349" ref="L372"/>
    <hyperlink r:id="rId350" ref="L373"/>
    <hyperlink r:id="rId351" ref="L374"/>
    <hyperlink r:id="rId352" ref="L375"/>
    <hyperlink r:id="rId353" ref="L376"/>
    <hyperlink r:id="rId354" ref="L377"/>
    <hyperlink r:id="rId355" ref="L378"/>
    <hyperlink r:id="rId356" ref="L379"/>
    <hyperlink r:id="rId357" ref="L380"/>
    <hyperlink r:id="rId358" ref="L381"/>
    <hyperlink r:id="rId359" ref="L382"/>
    <hyperlink r:id="rId360" ref="L383"/>
    <hyperlink r:id="rId361" ref="L384"/>
    <hyperlink r:id="rId362" ref="L385"/>
    <hyperlink r:id="rId363" ref="L386"/>
    <hyperlink r:id="rId364" ref="L387"/>
    <hyperlink r:id="rId365" ref="L388"/>
    <hyperlink r:id="rId366" ref="L389"/>
    <hyperlink r:id="rId367" ref="L390"/>
    <hyperlink r:id="rId368" ref="L391"/>
    <hyperlink r:id="rId369" ref="L392"/>
    <hyperlink r:id="rId370" ref="L393"/>
    <hyperlink r:id="rId371" ref="L394"/>
    <hyperlink r:id="rId372" ref="L395"/>
    <hyperlink r:id="rId373" ref="L396"/>
    <hyperlink r:id="rId374" ref="L397"/>
    <hyperlink r:id="rId375" ref="L398"/>
    <hyperlink r:id="rId376" ref="L399"/>
    <hyperlink r:id="rId377" ref="L400"/>
    <hyperlink r:id="rId378" ref="L401"/>
    <hyperlink r:id="rId379" ref="L402"/>
    <hyperlink r:id="rId380" ref="L403"/>
    <hyperlink r:id="rId381" ref="L404"/>
    <hyperlink r:id="rId382" ref="L405"/>
    <hyperlink r:id="rId383" ref="L406"/>
    <hyperlink r:id="rId384" ref="L407"/>
    <hyperlink r:id="rId385" ref="L408"/>
    <hyperlink r:id="rId386" ref="L409"/>
    <hyperlink r:id="rId387" ref="L410"/>
    <hyperlink r:id="rId388" ref="L411"/>
    <hyperlink r:id="rId389" ref="L412"/>
    <hyperlink r:id="rId390" ref="L413"/>
    <hyperlink r:id="rId391" ref="L414"/>
    <hyperlink r:id="rId392" ref="L415"/>
    <hyperlink r:id="rId393" ref="L416"/>
    <hyperlink r:id="rId394" ref="L417"/>
    <hyperlink r:id="rId395" ref="L418"/>
    <hyperlink r:id="rId396" ref="L419"/>
    <hyperlink r:id="rId397" ref="L420"/>
    <hyperlink r:id="rId398" ref="L421"/>
    <hyperlink r:id="rId399" ref="L422"/>
    <hyperlink r:id="rId400" ref="L423"/>
    <hyperlink r:id="rId401" ref="L424"/>
    <hyperlink r:id="rId402" ref="L425"/>
    <hyperlink r:id="rId403" ref="L426"/>
    <hyperlink r:id="rId404" ref="L427"/>
    <hyperlink r:id="rId405" ref="L428"/>
    <hyperlink r:id="rId406" ref="L429"/>
    <hyperlink r:id="rId407" ref="L430"/>
    <hyperlink r:id="rId408" ref="L431"/>
    <hyperlink r:id="rId409" ref="L432"/>
    <hyperlink r:id="rId410" ref="L433"/>
    <hyperlink r:id="rId411" ref="L434"/>
    <hyperlink r:id="rId412" ref="L435"/>
    <hyperlink r:id="rId413" ref="L436"/>
    <hyperlink r:id="rId414" ref="L437"/>
    <hyperlink r:id="rId415" ref="L438"/>
    <hyperlink r:id="rId416" ref="L439"/>
    <hyperlink r:id="rId417" ref="L440"/>
    <hyperlink r:id="rId418" ref="L441"/>
    <hyperlink r:id="rId419" ref="L442"/>
    <hyperlink r:id="rId420" ref="L443"/>
    <hyperlink r:id="rId421" ref="L444"/>
    <hyperlink r:id="rId422" ref="L445"/>
    <hyperlink r:id="rId423" ref="L446"/>
    <hyperlink r:id="rId424" ref="L447"/>
  </hyperlinks>
  <drawing r:id="rId4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3B53"/>
    <pageSetUpPr/>
  </sheetPr>
  <sheetViews>
    <sheetView showGridLines="0" workbookViewId="0"/>
  </sheetViews>
  <sheetFormatPr customHeight="1" defaultColWidth="12.63" defaultRowHeight="15.0"/>
  <cols>
    <col customWidth="1" min="1" max="1" width="30.0"/>
    <col customWidth="1" min="2" max="2" width="96.0"/>
    <col customWidth="1" min="3" max="3" width="70.0"/>
    <col customWidth="1" min="4" max="26" width="8.63"/>
    <col min="10" max="10" width="8.630000114440918" customWidth="1"/>
    <col min="11" max="11" width="8.630000114440918" customWidth="1"/>
    <col min="10" max="10" width="27" hidden="0" customWidth="1"/>
    <col min="11" max="11" width="85" hidden="0" customWidth="1"/>
  </cols>
  <sheetData>
    <row r="1" ht="27.75" customHeight="1">
      <c r="A1" s="21"/>
      <c r="B1" s="21"/>
      <c r="C1" s="21"/>
      <c r="D1" s="21"/>
      <c r="E1" s="21"/>
      <c r="F1" s="21"/>
      <c r="G1" s="21"/>
    </row>
    <row r="2" ht="56" customHeight="1">
      <c r="A2" s="21" t="inlineStr">
        <is>
          <t>Equipment catalogue</t>
        </is>
      </c>
      <c r="B2" s="25" t="inlineStr">
        <is>
          <t>Editable reference values for Phase 2 room equipment gains.</t>
        </is>
      </c>
      <c r="C2" s="21"/>
      <c r="D2" s="21"/>
      <c r="E2" s="21"/>
      <c r="F2" s="21"/>
      <c r="G2" s="21"/>
    </row>
    <row r="3" ht="56" customHeight="1">
      <c r="A3" s="21" t="inlineStr">
        <is>
          <t>Approximate heat gains</t>
        </is>
      </c>
      <c r="B3" s="25" t="inlineStr">
        <is>
          <t>One entry per equipment example or operating state. Keep the Equipment ID unchanged when sorting or renaming.</t>
        </is>
      </c>
      <c r="C3" s="21"/>
      <c r="D3" s="21"/>
      <c r="E3" s="21"/>
      <c r="F3" s="21"/>
      <c r="G3" s="21"/>
    </row>
    <row r="4" ht="56" customHeight="1">
      <c r="A4" s="21" t="inlineStr">
        <is>
          <t>Conditional values</t>
        </is>
      </c>
      <c r="B4" s="25" t="inlineStr">
        <is>
          <t>D/E contain sensible/latent W per unit. Use only when the installed item and every condition in F match.</t>
        </is>
      </c>
      <c r="C4" s="21"/>
      <c r="D4" s="21"/>
      <c r="E4" s="21"/>
      <c r="F4" s="21"/>
      <c r="G4" s="21"/>
    </row>
    <row r="5" ht="56" customHeight="1">
      <c r="A5" s="21" t="inlineStr">
        <is>
          <t>Research required</t>
        </is>
      </c>
      <c r="B5" s="25" t="inlineStr">
        <is>
          <t>Further research required if this item is used in the project. Blank values are unknown, not zero.</t>
        </is>
      </c>
      <c r="C5" s="21"/>
      <c r="D5" s="21"/>
      <c r="E5" s="21"/>
      <c r="F5" s="21"/>
      <c r="G5" s="21"/>
    </row>
    <row r="6" ht="56" customHeight="1">
      <c r="A6" s="21" t="inlineStr">
        <is>
          <t>Reference values</t>
        </is>
      </c>
      <c r="B6" s="25" t="inlineStr">
        <is>
          <t>G/H and AA/AB are reference examples. O is electrical input. None automatically establishes room heat.</t>
        </is>
      </c>
      <c r="C6" s="25"/>
      <c r="D6" s="21"/>
      <c r="E6" s="21"/>
      <c r="F6" s="21"/>
      <c r="G6" s="21"/>
    </row>
    <row r="7" ht="56" customHeight="1">
      <c r="A7" s="21" t="inlineStr">
        <is>
          <t>Source and conditions</t>
        </is>
      </c>
      <c r="B7" s="25" t="inlineStr">
        <is>
          <t>L: source URL. S: example model. T: operating state. W: heat rejection location. F/AD: conditions and missing details.</t>
        </is>
      </c>
      <c r="C7" s="25"/>
      <c r="D7" s="21"/>
      <c r="E7" s="21"/>
      <c r="F7" s="21"/>
      <c r="G7" s="21"/>
    </row>
    <row r="8" ht="56" customHeight="1">
      <c r="A8" s="21" t="inlineStr">
        <is>
          <t>Matching fields</t>
        </is>
      </c>
      <c r="B8" s="25" t="inlineStr">
        <is>
          <t>AE: stable ID. AF: aliases separated by semicolons. AG: eligibility. AH: matching requirements. Names identify candidates only.</t>
        </is>
      </c>
      <c r="C8" s="25"/>
      <c r="D8" s="21"/>
      <c r="E8" s="21"/>
      <c r="F8" s="21"/>
      <c r="G8" s="21"/>
    </row>
    <row r="9" ht="56" customHeight="1">
      <c r="A9" s="21" t="inlineStr">
        <is>
          <t>Eligibility</t>
        </is>
      </c>
      <c r="B9" s="25" t="inlineStr">
        <is>
          <t>CONDITIONAL_MATCH requires applicable evidence. ESTIMATE_ONLY is a disclosed assumption. REFERENCE_ONLY requires research before calculation.</t>
        </is>
      </c>
      <c r="C9" s="25"/>
      <c r="D9" s="21"/>
      <c r="E9" s="21"/>
      <c r="F9" s="21"/>
      <c r="G9" s="21"/>
    </row>
    <row r="10" ht="56" customHeight="1">
      <c r="A10" s="21" t="inlineStr">
        <is>
          <t>Timing and quantities</t>
        </is>
      </c>
      <c r="B10" s="25" t="inlineStr">
        <is>
          <t>Match quantity, room and operating schedule. Do not apply duty twice to a value already averaged for the same hour.</t>
        </is>
      </c>
      <c r="C10" s="25"/>
      <c r="D10" s="21"/>
      <c r="E10" s="21"/>
      <c r="F10" s="21"/>
      <c r="G10" s="21"/>
    </row>
    <row r="11" ht="56" customHeight="1">
      <c r="A11" s="21" t="inlineStr">
        <is>
          <t>Refrigeration</t>
        </is>
      </c>
      <c r="B11" s="25" t="inlineStr">
        <is>
          <t>Use this sheet to check condenser location, energy units and heat boundaries. Reference examples are not universal fridge loads.</t>
        </is>
      </c>
      <c r="C11" s="21"/>
      <c r="D11" s="21"/>
      <c r="E11" s="21"/>
      <c r="F11" s="21"/>
      <c r="G11" s="21"/>
    </row>
    <row r="12" ht="56" customHeight="1">
      <c r="A12" s="21" t="inlineStr">
        <is>
          <t>Room worksheet</t>
        </is>
      </c>
      <c r="B12" s="25" t="inlineStr">
        <is>
          <t>Optional manual equipment calculator for one room/hour. It is not the app or the complete building heat-load calculation.</t>
        </is>
      </c>
      <c r="C12" s="21"/>
      <c r="D12" s="21"/>
      <c r="E12" s="21"/>
      <c r="F12" s="21"/>
      <c r="G12" s="21"/>
    </row>
    <row r="13" ht="56" customHeight="1">
      <c r="A13" s="21" t="inlineStr">
        <is>
          <t>Adding an entry</t>
        </is>
      </c>
      <c r="B13" s="25" t="inlineStr">
        <is>
          <t>Copy an existing row, assign the next unused EQ identifier, replace its values and evidence, and add aliases. Never reuse an ID.</t>
        </is>
      </c>
      <c r="C13" s="21"/>
      <c r="D13" s="21"/>
      <c r="E13" s="21"/>
      <c r="F13" s="21"/>
      <c r="G13" s="21"/>
    </row>
    <row r="14" ht="56" customHeight="1">
      <c r="A14" s="21" t="inlineStr">
        <is>
          <t>Extend Excel ranges</t>
        </is>
      </c>
      <c r="B14" s="25" t="inlineStr">
        <is>
          <t>Extend the equipment filter and the Room worksheet lookup and selection ranges beyond row 447 when adding entries. The app reads populated rows automatically.</t>
        </is>
      </c>
      <c r="C14" s="21"/>
      <c r="D14" s="21"/>
      <c r="E14" s="21"/>
      <c r="F14" s="21"/>
      <c r="G14" s="21"/>
    </row>
    <row r="15" ht="56" customHeight="1">
      <c r="A15" s="21" t="inlineStr">
        <is>
          <t>Catalogue updates</t>
        </is>
      </c>
      <c r="B15" s="25" t="inlineStr">
        <is>
          <t>The app reads this project workbook. Changes make dependent Phase 2 results stale. Saved reports are retained until recalculated.</t>
        </is>
      </c>
      <c r="C15" s="21"/>
      <c r="D15" s="21"/>
      <c r="E15" s="21"/>
      <c r="F15" s="21"/>
      <c r="G15" s="21"/>
    </row>
    <row r="16" ht="56" customHeight="1">
      <c r="A16" s="21" t="inlineStr">
        <is>
          <t>Evidence status</t>
        </is>
      </c>
      <c r="B16" s="25" t="inlineStr">
        <is>
          <t>This catalogue has not received a full source-by-source engineering audit. Existing evidence and qualifications remain attached to each entry.</t>
        </is>
      </c>
      <c r="C16" s="21"/>
      <c r="D16" s="21"/>
      <c r="E16" s="21"/>
      <c r="F16" s="21"/>
      <c r="G16" s="21"/>
    </row>
    <row r="17" ht="45.75" customHeight="1">
      <c r="A17" s="21"/>
      <c r="B17" s="25"/>
      <c r="C17" s="21"/>
      <c r="D17" s="21"/>
      <c r="E17" s="21"/>
      <c r="F17" s="21"/>
      <c r="G17" s="21"/>
    </row>
    <row r="18" ht="45.75" customHeight="1">
      <c r="A18" s="21"/>
      <c r="B18" s="25"/>
      <c r="C18" s="21"/>
      <c r="D18" s="21"/>
      <c r="E18" s="21"/>
      <c r="F18" s="21"/>
      <c r="G18" s="21"/>
    </row>
    <row r="19" ht="45.75" customHeight="1">
      <c r="A19" s="21"/>
      <c r="B19" s="25"/>
      <c r="C19" s="21"/>
      <c r="D19" s="21"/>
      <c r="E19" s="21"/>
      <c r="F19" s="21"/>
      <c r="G19" s="21"/>
    </row>
    <row r="20" ht="45.75" customHeight="1">
      <c r="A20" s="21"/>
      <c r="B20" s="25"/>
      <c r="C20" s="21"/>
      <c r="D20" s="21"/>
      <c r="E20" s="21"/>
      <c r="F20" s="21"/>
      <c r="G20" s="21"/>
    </row>
    <row r="21" ht="45.75" customHeight="1">
      <c r="A21" s="21"/>
      <c r="B21" s="25"/>
      <c r="C21" s="21"/>
      <c r="D21" s="21"/>
      <c r="E21" s="21"/>
      <c r="F21" s="21"/>
      <c r="G21" s="21"/>
    </row>
    <row r="22" ht="45.75" customHeight="1">
      <c r="A22" s="21"/>
      <c r="B22" s="25"/>
      <c r="C22" s="21"/>
      <c r="D22" s="21"/>
      <c r="E22" s="21"/>
      <c r="F22" s="21"/>
      <c r="G22" s="21"/>
    </row>
    <row r="23" ht="45.75" customHeight="1">
      <c r="A23" s="21"/>
      <c r="B23" s="25"/>
      <c r="C23" s="21"/>
      <c r="D23" s="21"/>
      <c r="E23" s="21"/>
      <c r="F23" s="21"/>
      <c r="G23" s="21"/>
    </row>
    <row r="24" ht="45.75" customHeight="1">
      <c r="A24" s="21"/>
      <c r="B24" s="25"/>
      <c r="C24" s="21"/>
      <c r="D24" s="21"/>
      <c r="E24" s="21"/>
      <c r="F24" s="21"/>
      <c r="G24" s="21"/>
    </row>
    <row r="25" ht="45.75" customHeight="1">
      <c r="A25" s="21"/>
      <c r="B25" s="25"/>
      <c r="C25" s="21"/>
      <c r="D25" s="21"/>
      <c r="E25" s="21"/>
      <c r="F25" s="21"/>
      <c r="G25" s="21"/>
    </row>
    <row r="26" ht="45.75" customHeight="1">
      <c r="A26" s="21"/>
      <c r="B26" s="25"/>
      <c r="C26" s="21"/>
      <c r="D26" s="21"/>
      <c r="E26" s="21"/>
      <c r="F26" s="21"/>
      <c r="G26" s="21"/>
    </row>
    <row r="27" ht="45.75" customHeight="1">
      <c r="A27" s="21"/>
      <c r="B27" s="25"/>
      <c r="C27" s="21"/>
      <c r="D27" s="21"/>
      <c r="E27" s="21"/>
      <c r="F27" s="21"/>
      <c r="G27" s="21"/>
    </row>
    <row r="28" ht="45.75" customHeight="1">
      <c r="A28" s="21"/>
      <c r="B28" s="25"/>
      <c r="C28" s="21"/>
      <c r="D28" s="21"/>
      <c r="E28" s="21"/>
      <c r="F28" s="21"/>
      <c r="G28" s="21"/>
    </row>
    <row r="29" ht="45.75" customHeight="1">
      <c r="A29" s="21"/>
      <c r="B29" s="25"/>
      <c r="C29" s="21"/>
      <c r="D29" s="21"/>
      <c r="E29" s="21"/>
      <c r="F29" s="21"/>
      <c r="G29" s="21"/>
    </row>
    <row r="30" ht="45.75" customHeight="1">
      <c r="A30" s="21"/>
      <c r="B30" s="25"/>
      <c r="C30" s="21"/>
      <c r="D30" s="21"/>
      <c r="E30" s="21"/>
      <c r="F30" s="21"/>
      <c r="G30" s="21"/>
    </row>
    <row r="31" ht="45.75" customHeight="1">
      <c r="A31" s="21"/>
      <c r="B31" s="25"/>
      <c r="C31" s="21"/>
      <c r="D31" s="21"/>
      <c r="E31" s="21"/>
      <c r="F31" s="21"/>
      <c r="G31" s="21"/>
    </row>
    <row r="32" ht="45.75" customHeight="1">
      <c r="A32" s="21"/>
      <c r="B32" s="25"/>
      <c r="C32" s="21"/>
      <c r="D32" s="21"/>
      <c r="E32" s="21"/>
      <c r="F32" s="21"/>
      <c r="G32" s="21"/>
    </row>
    <row r="33" ht="45.75" customHeight="1">
      <c r="A33" s="21"/>
      <c r="B33" s="25"/>
      <c r="C33" s="21"/>
      <c r="D33" s="21"/>
      <c r="E33" s="21"/>
      <c r="F33" s="21"/>
      <c r="G33" s="21"/>
    </row>
    <row r="34" ht="45.75" customHeight="1">
      <c r="A34" s="21"/>
      <c r="B34" s="25"/>
      <c r="C34" s="21"/>
      <c r="D34" s="21"/>
      <c r="E34" s="21"/>
      <c r="F34" s="21"/>
      <c r="G34" s="21"/>
    </row>
    <row r="35" ht="27.75" customHeight="1">
      <c r="A35" s="21"/>
      <c r="B35" s="21"/>
      <c r="C35" s="21"/>
      <c r="D35" s="21"/>
      <c r="E35" s="21"/>
      <c r="F35" s="21"/>
      <c r="G35" s="21"/>
    </row>
    <row r="36" ht="27.75" customHeight="1">
      <c r="A36" s="21"/>
      <c r="B36" s="21"/>
      <c r="C36" s="21"/>
      <c r="D36" s="21"/>
      <c r="E36" s="21"/>
      <c r="F36" s="21"/>
      <c r="G36" s="21"/>
    </row>
    <row r="37" ht="27.75" customHeight="1">
      <c r="A37" s="21"/>
      <c r="B37" s="21"/>
      <c r="C37" s="21"/>
      <c r="D37" s="21"/>
      <c r="E37" s="21"/>
      <c r="F37" s="21"/>
      <c r="G37" s="21"/>
    </row>
    <row r="38" ht="27.75" customHeight="1">
      <c r="A38" s="21"/>
      <c r="B38" s="21"/>
      <c r="C38" s="21"/>
      <c r="D38" s="21"/>
      <c r="E38" s="21"/>
      <c r="F38" s="21"/>
      <c r="G38" s="21"/>
    </row>
    <row r="39" ht="27.75" customHeight="1">
      <c r="A39" s="21"/>
      <c r="B39" s="21"/>
      <c r="C39" s="21"/>
      <c r="D39" s="21"/>
      <c r="E39" s="21"/>
      <c r="F39" s="21"/>
      <c r="G39" s="21"/>
    </row>
    <row r="40" ht="27.75" customHeight="1">
      <c r="A40" s="21"/>
      <c r="B40" s="21"/>
      <c r="C40" s="21"/>
      <c r="D40" s="21"/>
      <c r="E40" s="21"/>
      <c r="F40" s="21"/>
      <c r="G40" s="21"/>
    </row>
    <row r="41" ht="27.75" customHeight="1">
      <c r="A41" s="21"/>
      <c r="B41" s="21"/>
      <c r="C41" s="21"/>
      <c r="D41" s="21"/>
      <c r="E41" s="21"/>
      <c r="F41" s="21"/>
      <c r="G41" s="21"/>
    </row>
    <row r="42" ht="27.75" customHeight="1">
      <c r="A42" s="21"/>
      <c r="B42" s="21"/>
      <c r="C42" s="21"/>
      <c r="D42" s="21"/>
      <c r="E42" s="21"/>
      <c r="F42" s="21"/>
      <c r="G42" s="21"/>
    </row>
    <row r="43" ht="27.75" customHeight="1">
      <c r="A43" s="21"/>
      <c r="B43" s="21"/>
      <c r="C43" s="21"/>
      <c r="D43" s="21"/>
      <c r="E43" s="21"/>
      <c r="F43" s="21"/>
      <c r="G43" s="21"/>
    </row>
    <row r="44" ht="27.75" customHeight="1">
      <c r="A44" s="21"/>
      <c r="B44" s="21"/>
      <c r="C44" s="21"/>
      <c r="D44" s="21"/>
      <c r="E44" s="21"/>
      <c r="F44" s="21"/>
      <c r="G44" s="21"/>
    </row>
    <row r="45" ht="15.75" customHeight="1"/>
    <row r="46">
      <c r="A46" s="26"/>
      <c r="B46" s="26"/>
    </row>
    <row r="47">
      <c r="A47" s="26"/>
      <c r="B47" s="26"/>
    </row>
    <row r="48">
      <c r="A48" s="26"/>
      <c r="B48" s="26"/>
    </row>
    <row r="49">
      <c r="A49" s="26"/>
      <c r="B49" s="26"/>
    </row>
    <row r="50">
      <c r="A50" s="26"/>
      <c r="B50" s="26"/>
    </row>
    <row r="51">
      <c r="A51" s="26"/>
      <c r="B51" s="26"/>
    </row>
    <row r="52">
      <c r="A52" s="26"/>
      <c r="B52" s="26"/>
    </row>
    <row r="53">
      <c r="A53" s="26"/>
      <c r="B53" s="26"/>
    </row>
    <row r="54">
      <c r="A54" s="26"/>
      <c r="B54" s="26"/>
    </row>
    <row r="55">
      <c r="A55" s="26"/>
      <c r="B55" s="26"/>
    </row>
    <row r="56" ht="15.75" customHeight="1"/>
    <row r="57" ht="15.75" customHeight="1">
      <c r="A57" s="27" t="s">
        <v>3120</v>
      </c>
      <c r="B57" s="27" t="s">
        <v>3121</v>
      </c>
    </row>
    <row r="58" ht="15.75" customHeight="1">
      <c r="A58" s="27" t="s">
        <v>3122</v>
      </c>
      <c r="B58" s="28">
        <f>COUNTA('Approximate heat gains'!B6:B447)</f>
        <v>442</v>
      </c>
    </row>
    <row r="59" ht="15.75" customHeight="1">
      <c r="A59" s="27" t="s">
        <v>3123</v>
      </c>
      <c r="B59" s="28">
        <f>COUNT('Approximate heat gains'!D6:D447)</f>
        <v>298</v>
      </c>
    </row>
    <row r="60" ht="15.75" customHeight="1">
      <c r="A60" s="27" t="s">
        <v>3124</v>
      </c>
      <c r="B60" s="28">
        <f>COUNTIF('Approximate heat gains'!C6:C447,"BLOCKED*")</f>
        <v>141</v>
      </c>
    </row>
    <row r="61" ht="15.75" customHeight="1">
      <c r="A61" s="27" t="s">
        <v>3125</v>
      </c>
      <c r="B61" s="28">
        <f>COUNTIF('Approximate heat gains'!C6:C447,"PRELIMINARY*")</f>
        <v>3</v>
      </c>
    </row>
    <row r="62" ht="15.75" customHeight="1">
      <c r="A62" s="27" t="s">
        <v>3126</v>
      </c>
      <c r="B62" s="27" t="s">
        <v>3127</v>
      </c>
    </row>
    <row r="63" ht="15.75" customHeight="1">
      <c r="A63" s="27" t="s">
        <v>3128</v>
      </c>
      <c r="B63" s="27" t="s">
        <v>3129</v>
      </c>
    </row>
    <row r="64" ht="15.75" customHeight="1">
      <c r="A64" s="27" t="s">
        <v>3130</v>
      </c>
      <c r="B64" s="27" t="s">
        <v>3131</v>
      </c>
    </row>
    <row r="65" ht="15.75" customHeight="1">
      <c r="A65" s="27" t="s">
        <v>3132</v>
      </c>
      <c r="B65" s="27" t="s">
        <v>3133</v>
      </c>
    </row>
    <row r="66" ht="15.75" customHeight="1"/>
    <row r="67" ht="15.75" customHeight="1"/>
    <row r="68" ht="60" customHeight="1">
      <c r="J68" s="100"/>
      <c r="K68" s="102"/>
    </row>
    <row r="69" ht="60" customHeight="1">
      <c r="J69" s="100"/>
      <c r="K69" s="102"/>
    </row>
    <row r="70" ht="60" customHeight="1">
      <c r="J70" s="100"/>
      <c r="K70" s="102"/>
    </row>
    <row r="71" ht="60" customHeight="1">
      <c r="J71" s="100"/>
      <c r="K71" s="102"/>
    </row>
    <row r="72" ht="60" customHeight="1">
      <c r="J72" s="100"/>
      <c r="K72" s="102"/>
    </row>
    <row r="73" ht="60" customHeight="1">
      <c r="J73" s="100"/>
      <c r="K73" s="102"/>
    </row>
    <row r="74" ht="60" customHeight="1">
      <c r="J74" s="100"/>
      <c r="K74" s="102"/>
    </row>
    <row r="75" ht="60" customHeight="1">
      <c r="J75" s="100"/>
      <c r="K75" s="102"/>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7B81"/>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9.0"/>
    <col customWidth="1" min="2" max="2" width="43.0"/>
    <col customWidth="1" min="3" max="3" width="35.0"/>
    <col customWidth="1" min="4" max="5" width="14.0"/>
    <col customWidth="1" min="6" max="6" width="28.0"/>
    <col customWidth="1" min="7" max="8" width="19.0"/>
    <col customWidth="1" min="9" max="9" width="43.0"/>
    <col customWidth="1" min="10" max="10" width="83.0"/>
    <col customWidth="1" min="11" max="11" width="3.0"/>
    <col customWidth="1" min="12" max="12" width="74.0"/>
    <col customWidth="1" min="13" max="13" width="100.0"/>
    <col customWidth="1" min="14" max="14" width="32.0"/>
    <col customWidth="1" min="15" max="26" width="8.63"/>
  </cols>
  <sheetData>
    <row r="1" ht="27.75" customHeight="1">
      <c r="A1" s="21"/>
      <c r="B1" s="21"/>
      <c r="C1" s="21"/>
      <c r="D1" s="21"/>
      <c r="E1" s="21"/>
      <c r="F1" s="21"/>
      <c r="G1" s="21"/>
      <c r="H1" s="21"/>
      <c r="I1" s="21"/>
      <c r="J1" s="21"/>
      <c r="K1" s="21"/>
      <c r="L1" s="21"/>
      <c r="M1" s="21"/>
      <c r="N1" s="21"/>
    </row>
    <row r="2" ht="27.75" customHeight="1">
      <c r="A2" s="22" t="s">
        <v>3134</v>
      </c>
      <c r="B2" s="21"/>
      <c r="C2" s="21"/>
      <c r="D2" s="21"/>
      <c r="E2" s="21"/>
      <c r="F2" s="21"/>
      <c r="G2" s="21"/>
      <c r="H2" s="21"/>
      <c r="I2" s="21"/>
      <c r="J2" s="21"/>
      <c r="K2" s="21"/>
      <c r="L2" s="21"/>
      <c r="M2" s="21"/>
      <c r="N2" s="21"/>
    </row>
    <row r="3" ht="27.75" customHeight="1">
      <c r="A3" s="21" t="s">
        <v>3135</v>
      </c>
      <c r="B3" s="21"/>
      <c r="C3" s="21"/>
      <c r="D3" s="21"/>
      <c r="E3" s="21"/>
      <c r="F3" s="21"/>
      <c r="G3" s="21"/>
      <c r="H3" s="21"/>
      <c r="I3" s="21"/>
      <c r="J3" s="21"/>
      <c r="K3" s="21"/>
      <c r="L3" s="21"/>
      <c r="M3" s="21"/>
      <c r="N3" s="21"/>
    </row>
    <row r="4" ht="27.75" customHeight="1">
      <c r="A4" s="21" t="s">
        <v>3136</v>
      </c>
      <c r="B4" s="21"/>
      <c r="C4" s="21"/>
      <c r="D4" s="21"/>
      <c r="E4" s="21"/>
      <c r="F4" s="21"/>
      <c r="G4" s="21"/>
      <c r="H4" s="21"/>
      <c r="I4" s="21"/>
      <c r="J4" s="21"/>
      <c r="K4" s="21"/>
      <c r="L4" s="21"/>
      <c r="M4" s="21"/>
      <c r="N4" s="21"/>
    </row>
    <row r="5" ht="27.75" customHeight="1">
      <c r="A5" s="21"/>
      <c r="B5" s="21"/>
      <c r="C5" s="21"/>
      <c r="D5" s="21"/>
      <c r="E5" s="21"/>
      <c r="F5" s="21"/>
      <c r="G5" s="21"/>
      <c r="H5" s="21"/>
      <c r="I5" s="21"/>
      <c r="J5" s="21"/>
      <c r="K5" s="21"/>
      <c r="L5" s="21"/>
      <c r="M5" s="21"/>
      <c r="N5" s="21"/>
    </row>
    <row r="6" ht="42.0" customHeight="1">
      <c r="A6" s="29" t="s">
        <v>3137</v>
      </c>
      <c r="B6" s="29" t="s">
        <v>3138</v>
      </c>
      <c r="C6" s="29" t="s">
        <v>3139</v>
      </c>
      <c r="D6" s="29" t="s">
        <v>3140</v>
      </c>
      <c r="E6" s="29" t="s">
        <v>3141</v>
      </c>
      <c r="F6" s="29" t="s">
        <v>3142</v>
      </c>
      <c r="G6" s="29" t="s">
        <v>3143</v>
      </c>
      <c r="H6" s="29" t="s">
        <v>3144</v>
      </c>
      <c r="I6" s="29" t="s">
        <v>3145</v>
      </c>
      <c r="J6" s="29" t="s">
        <v>3146</v>
      </c>
      <c r="K6" s="21"/>
      <c r="L6" s="21" t="s">
        <v>3147</v>
      </c>
      <c r="M6" s="21" t="s">
        <v>3148</v>
      </c>
      <c r="N6" s="21" t="s">
        <v>3149</v>
      </c>
    </row>
    <row r="7" ht="27.75" customHeight="1">
      <c r="A7" s="30" t="s">
        <v>3150</v>
      </c>
      <c r="B7" s="30" t="s">
        <v>3151</v>
      </c>
      <c r="C7" s="30" t="s">
        <v>3152</v>
      </c>
      <c r="D7" s="31">
        <v>57.0</v>
      </c>
      <c r="E7" s="31">
        <v>57.0</v>
      </c>
      <c r="F7" s="30" t="s">
        <v>3153</v>
      </c>
      <c r="G7" s="32">
        <f t="shared" ref="G7:H7" si="1">IF(D7="","",D7/1000)</f>
        <v>0.057</v>
      </c>
      <c r="H7" s="32">
        <f t="shared" si="1"/>
        <v>0.057</v>
      </c>
      <c r="I7" s="30" t="s">
        <v>3154</v>
      </c>
      <c r="J7" s="30" t="s">
        <v>3155</v>
      </c>
      <c r="K7" s="21"/>
      <c r="L7" s="21" t="s">
        <v>3156</v>
      </c>
      <c r="M7" s="21" t="s">
        <v>58</v>
      </c>
      <c r="N7" s="21" t="s">
        <v>3157</v>
      </c>
    </row>
    <row r="8" ht="27.75" customHeight="1">
      <c r="A8" s="30" t="s">
        <v>3158</v>
      </c>
      <c r="B8" s="30" t="s">
        <v>3159</v>
      </c>
      <c r="C8" s="30" t="s">
        <v>3160</v>
      </c>
      <c r="D8" s="31">
        <v>125.0</v>
      </c>
      <c r="E8" s="31">
        <v>125.0</v>
      </c>
      <c r="F8" s="30" t="s">
        <v>3153</v>
      </c>
      <c r="G8" s="32">
        <f t="shared" ref="G8:H8" si="2">IF(D8="","",D8/1000)</f>
        <v>0.125</v>
      </c>
      <c r="H8" s="32">
        <f t="shared" si="2"/>
        <v>0.125</v>
      </c>
      <c r="I8" s="30" t="s">
        <v>3154</v>
      </c>
      <c r="J8" s="30" t="s">
        <v>3161</v>
      </c>
      <c r="K8" s="21"/>
      <c r="L8" s="21" t="s">
        <v>3156</v>
      </c>
      <c r="M8" s="21" t="s">
        <v>58</v>
      </c>
      <c r="N8" s="21" t="s">
        <v>3157</v>
      </c>
    </row>
    <row r="9" ht="27.75" customHeight="1">
      <c r="A9" s="30" t="s">
        <v>3162</v>
      </c>
      <c r="B9" s="30" t="s">
        <v>3163</v>
      </c>
      <c r="C9" s="30" t="s">
        <v>3160</v>
      </c>
      <c r="D9" s="31">
        <v>387.0</v>
      </c>
      <c r="E9" s="31">
        <v>430.0</v>
      </c>
      <c r="F9" s="30" t="s">
        <v>3153</v>
      </c>
      <c r="G9" s="32">
        <f t="shared" ref="G9:H9" si="3">IF(D9="","",D9/1000)</f>
        <v>0.387</v>
      </c>
      <c r="H9" s="32">
        <f t="shared" si="3"/>
        <v>0.43</v>
      </c>
      <c r="I9" s="30" t="s">
        <v>3164</v>
      </c>
      <c r="J9" s="30" t="s">
        <v>3165</v>
      </c>
      <c r="K9" s="21"/>
      <c r="L9" s="21" t="s">
        <v>3156</v>
      </c>
      <c r="M9" s="21" t="s">
        <v>58</v>
      </c>
      <c r="N9" s="21" t="s">
        <v>3157</v>
      </c>
    </row>
    <row r="10" ht="27.75" customHeight="1">
      <c r="A10" s="30" t="s">
        <v>3166</v>
      </c>
      <c r="B10" s="30" t="s">
        <v>3167</v>
      </c>
      <c r="C10" s="30" t="s">
        <v>3168</v>
      </c>
      <c r="D10" s="31">
        <v>658.0</v>
      </c>
      <c r="E10" s="31">
        <v>658.0</v>
      </c>
      <c r="F10" s="30" t="s">
        <v>3153</v>
      </c>
      <c r="G10" s="32">
        <f t="shared" ref="G10:H10" si="4">IF(D10="","",D10/1000)</f>
        <v>0.658</v>
      </c>
      <c r="H10" s="32">
        <f t="shared" si="4"/>
        <v>0.658</v>
      </c>
      <c r="I10" s="30" t="s">
        <v>3154</v>
      </c>
      <c r="J10" s="30" t="s">
        <v>3169</v>
      </c>
      <c r="K10" s="21"/>
      <c r="L10" s="21" t="s">
        <v>3156</v>
      </c>
      <c r="M10" s="21" t="s">
        <v>58</v>
      </c>
      <c r="N10" s="21" t="s">
        <v>3157</v>
      </c>
    </row>
    <row r="11" ht="27.75" customHeight="1">
      <c r="A11" s="30" t="s">
        <v>3170</v>
      </c>
      <c r="B11" s="30" t="s">
        <v>3171</v>
      </c>
      <c r="C11" s="30" t="s">
        <v>3172</v>
      </c>
      <c r="D11" s="31">
        <v>1.98</v>
      </c>
      <c r="E11" s="31">
        <v>1.98</v>
      </c>
      <c r="F11" s="30" t="s">
        <v>3173</v>
      </c>
      <c r="G11" s="32">
        <f t="shared" ref="G11:H11" si="5">IF(D11="","",D11/24)</f>
        <v>0.0825</v>
      </c>
      <c r="H11" s="32">
        <f t="shared" si="5"/>
        <v>0.0825</v>
      </c>
      <c r="I11" s="30" t="s">
        <v>3174</v>
      </c>
      <c r="J11" s="30" t="s">
        <v>3175</v>
      </c>
      <c r="K11" s="21"/>
      <c r="L11" s="21" t="s">
        <v>3176</v>
      </c>
      <c r="M11" s="21" t="s">
        <v>3177</v>
      </c>
      <c r="N11" s="21" t="s">
        <v>3157</v>
      </c>
    </row>
    <row r="12" ht="27.75" customHeight="1">
      <c r="A12" s="30" t="s">
        <v>3178</v>
      </c>
      <c r="B12" s="30" t="s">
        <v>3179</v>
      </c>
      <c r="C12" s="30" t="s">
        <v>3180</v>
      </c>
      <c r="D12" s="31">
        <v>6.86</v>
      </c>
      <c r="E12" s="31">
        <v>6.86</v>
      </c>
      <c r="F12" s="30" t="s">
        <v>3173</v>
      </c>
      <c r="G12" s="32">
        <f t="shared" ref="G12:H12" si="6">IF(D12="","",D12/24)</f>
        <v>0.2858333333</v>
      </c>
      <c r="H12" s="32">
        <f t="shared" si="6"/>
        <v>0.2858333333</v>
      </c>
      <c r="I12" s="30" t="s">
        <v>3174</v>
      </c>
      <c r="J12" s="30" t="s">
        <v>3181</v>
      </c>
      <c r="K12" s="21"/>
      <c r="L12" s="21" t="s">
        <v>3182</v>
      </c>
      <c r="M12" s="21" t="s">
        <v>3183</v>
      </c>
      <c r="N12" s="21" t="s">
        <v>3157</v>
      </c>
    </row>
    <row r="13" ht="27.75" customHeight="1">
      <c r="A13" s="30" t="s">
        <v>3184</v>
      </c>
      <c r="B13" s="30" t="s">
        <v>3185</v>
      </c>
      <c r="C13" s="30" t="s">
        <v>3186</v>
      </c>
      <c r="D13" s="31">
        <v>2.236</v>
      </c>
      <c r="E13" s="31">
        <v>2.236</v>
      </c>
      <c r="F13" s="30" t="s">
        <v>3173</v>
      </c>
      <c r="G13" s="32">
        <f t="shared" ref="G13:H13" si="7">IF(D13="","",D13/24)</f>
        <v>0.09316666667</v>
      </c>
      <c r="H13" s="32">
        <f t="shared" si="7"/>
        <v>0.09316666667</v>
      </c>
      <c r="I13" s="30" t="s">
        <v>3174</v>
      </c>
      <c r="J13" s="30" t="s">
        <v>3187</v>
      </c>
      <c r="K13" s="21"/>
      <c r="L13" s="21" t="s">
        <v>3188</v>
      </c>
      <c r="M13" s="21" t="s">
        <v>3189</v>
      </c>
      <c r="N13" s="21" t="s">
        <v>3157</v>
      </c>
    </row>
    <row r="14" ht="27.75" customHeight="1">
      <c r="A14" s="30" t="s">
        <v>3190</v>
      </c>
      <c r="B14" s="30" t="s">
        <v>3191</v>
      </c>
      <c r="C14" s="30" t="s">
        <v>3192</v>
      </c>
      <c r="D14" s="31"/>
      <c r="E14" s="31"/>
      <c r="F14" s="30" t="s">
        <v>3193</v>
      </c>
      <c r="G14" s="32" t="str">
        <f t="shared" ref="G14:H14" si="8">IF(D14="","",D14/1000)</f>
        <v/>
      </c>
      <c r="H14" s="32" t="str">
        <f t="shared" si="8"/>
        <v/>
      </c>
      <c r="I14" s="30" t="s">
        <v>3194</v>
      </c>
      <c r="J14" s="30" t="s">
        <v>3195</v>
      </c>
      <c r="K14" s="21"/>
      <c r="L14" s="21" t="s">
        <v>3196</v>
      </c>
      <c r="M14" s="21" t="s">
        <v>3098</v>
      </c>
      <c r="N14" s="21" t="s">
        <v>3157</v>
      </c>
    </row>
    <row r="15" ht="27.75" customHeight="1">
      <c r="A15" s="30" t="s">
        <v>3197</v>
      </c>
      <c r="B15" s="30" t="s">
        <v>3198</v>
      </c>
      <c r="C15" s="30" t="s">
        <v>3199</v>
      </c>
      <c r="D15" s="31"/>
      <c r="E15" s="31"/>
      <c r="F15" s="30" t="s">
        <v>3200</v>
      </c>
      <c r="G15" s="32" t="str">
        <f t="shared" ref="G15:H15" si="9">IF(D15="","",D15/1000)</f>
        <v/>
      </c>
      <c r="H15" s="32" t="str">
        <f t="shared" si="9"/>
        <v/>
      </c>
      <c r="I15" s="30" t="s">
        <v>3201</v>
      </c>
      <c r="J15" s="30" t="s">
        <v>3202</v>
      </c>
      <c r="K15" s="21"/>
      <c r="L15" s="21" t="s">
        <v>3203</v>
      </c>
      <c r="M15" s="21"/>
      <c r="N15" s="21" t="s">
        <v>3157</v>
      </c>
    </row>
    <row r="16" ht="27.75" customHeight="1">
      <c r="A16" s="30" t="s">
        <v>3204</v>
      </c>
      <c r="B16" s="30" t="s">
        <v>3205</v>
      </c>
      <c r="C16" s="30" t="s">
        <v>3199</v>
      </c>
      <c r="D16" s="31"/>
      <c r="E16" s="31"/>
      <c r="F16" s="30" t="s">
        <v>3200</v>
      </c>
      <c r="G16" s="32" t="str">
        <f t="shared" ref="G16:H16" si="10">IF(D16="","",D16/1000)</f>
        <v/>
      </c>
      <c r="H16" s="32" t="str">
        <f t="shared" si="10"/>
        <v/>
      </c>
      <c r="I16" s="30" t="s">
        <v>3206</v>
      </c>
      <c r="J16" s="30" t="s">
        <v>3207</v>
      </c>
      <c r="K16" s="21"/>
      <c r="L16" s="21" t="s">
        <v>3203</v>
      </c>
      <c r="M16" s="21"/>
      <c r="N16" s="21" t="s">
        <v>3157</v>
      </c>
    </row>
    <row r="17" ht="27.75" customHeight="1">
      <c r="A17" s="30" t="s">
        <v>3208</v>
      </c>
      <c r="B17" s="30" t="s">
        <v>3209</v>
      </c>
      <c r="C17" s="30" t="s">
        <v>3210</v>
      </c>
      <c r="D17" s="31"/>
      <c r="E17" s="31"/>
      <c r="F17" s="30" t="s">
        <v>3211</v>
      </c>
      <c r="G17" s="32" t="str">
        <f t="shared" ref="G17:H17" si="11">IF(D17="","",D17/1000)</f>
        <v/>
      </c>
      <c r="H17" s="32" t="str">
        <f t="shared" si="11"/>
        <v/>
      </c>
      <c r="I17" s="30" t="s">
        <v>3212</v>
      </c>
      <c r="J17" s="30" t="s">
        <v>3213</v>
      </c>
      <c r="K17" s="21"/>
      <c r="L17" s="21" t="s">
        <v>3203</v>
      </c>
      <c r="M17" s="21"/>
      <c r="N17" s="21" t="s">
        <v>3157</v>
      </c>
    </row>
    <row r="18" ht="27.75" customHeight="1">
      <c r="A18" s="30" t="s">
        <v>3214</v>
      </c>
      <c r="B18" s="30" t="s">
        <v>3215</v>
      </c>
      <c r="C18" s="30" t="s">
        <v>3216</v>
      </c>
      <c r="D18" s="31"/>
      <c r="E18" s="31"/>
      <c r="F18" s="30" t="s">
        <v>3217</v>
      </c>
      <c r="G18" s="32" t="str">
        <f t="shared" ref="G18:H18" si="12">IF(D18="","",D18/1000)</f>
        <v/>
      </c>
      <c r="H18" s="32" t="str">
        <f t="shared" si="12"/>
        <v/>
      </c>
      <c r="I18" s="30" t="s">
        <v>3218</v>
      </c>
      <c r="J18" s="30" t="s">
        <v>3219</v>
      </c>
      <c r="K18" s="21"/>
      <c r="L18" s="21" t="s">
        <v>3203</v>
      </c>
      <c r="M18" s="21"/>
      <c r="N18" s="21" t="s">
        <v>3157</v>
      </c>
    </row>
    <row r="19" ht="27.75" customHeight="1">
      <c r="A19" s="21"/>
      <c r="B19" s="21"/>
      <c r="C19" s="21"/>
      <c r="D19" s="21"/>
      <c r="E19" s="21"/>
      <c r="F19" s="21"/>
      <c r="G19" s="21"/>
      <c r="H19" s="21"/>
      <c r="I19" s="21"/>
      <c r="J19" s="21"/>
      <c r="K19" s="21"/>
      <c r="L19" s="21"/>
      <c r="M19" s="21"/>
      <c r="N19" s="21"/>
    </row>
    <row r="20" ht="27.75" customHeight="1">
      <c r="A20" s="21"/>
      <c r="B20" s="21"/>
      <c r="C20" s="21"/>
      <c r="D20" s="21"/>
      <c r="E20" s="21"/>
      <c r="F20" s="21"/>
      <c r="G20" s="21"/>
      <c r="H20" s="21"/>
      <c r="I20" s="21"/>
      <c r="J20" s="21"/>
      <c r="K20" s="21"/>
      <c r="L20" s="21"/>
      <c r="M20" s="21"/>
      <c r="N20" s="21"/>
    </row>
    <row r="21" ht="27.75" customHeight="1">
      <c r="A21" s="33" t="s">
        <v>3220</v>
      </c>
      <c r="B21" s="21"/>
      <c r="C21" s="21"/>
      <c r="D21" s="21"/>
      <c r="E21" s="21"/>
      <c r="F21" s="21"/>
      <c r="G21" s="21"/>
      <c r="H21" s="21"/>
      <c r="I21" s="21"/>
      <c r="J21" s="21"/>
      <c r="K21" s="21"/>
      <c r="L21" s="21"/>
      <c r="M21" s="21"/>
      <c r="N21" s="21"/>
    </row>
    <row r="22" ht="27.75" customHeight="1">
      <c r="A22" s="21"/>
      <c r="B22" s="21"/>
      <c r="C22" s="21"/>
      <c r="D22" s="21"/>
      <c r="E22" s="21"/>
      <c r="F22" s="21"/>
      <c r="G22" s="21"/>
      <c r="H22" s="21"/>
      <c r="I22" s="21"/>
      <c r="J22" s="21"/>
      <c r="K22" s="21"/>
      <c r="L22" s="21"/>
      <c r="M22" s="21"/>
      <c r="N22" s="21"/>
    </row>
    <row r="23" ht="27.75" customHeight="1">
      <c r="A23" s="21"/>
      <c r="B23" s="21" t="s">
        <v>3221</v>
      </c>
      <c r="C23" s="21" t="s">
        <v>3222</v>
      </c>
      <c r="D23" s="21"/>
      <c r="E23" s="21"/>
      <c r="F23" s="21"/>
      <c r="G23" s="21"/>
      <c r="H23" s="21"/>
      <c r="I23" s="21"/>
      <c r="J23" s="21"/>
      <c r="K23" s="21"/>
      <c r="L23" s="21"/>
      <c r="M23" s="21"/>
      <c r="N23" s="21"/>
    </row>
    <row r="24" ht="27.75" customHeight="1">
      <c r="A24" s="21"/>
      <c r="B24" s="21" t="s">
        <v>3223</v>
      </c>
      <c r="C24" s="21" t="s">
        <v>3224</v>
      </c>
      <c r="D24" s="21"/>
      <c r="E24" s="21"/>
      <c r="F24" s="21"/>
      <c r="G24" s="21"/>
      <c r="H24" s="21"/>
      <c r="I24" s="21"/>
      <c r="J24" s="21"/>
      <c r="K24" s="21"/>
      <c r="L24" s="21"/>
      <c r="M24" s="21"/>
      <c r="N24" s="21"/>
    </row>
    <row r="25" ht="27.75" customHeight="1">
      <c r="A25" s="21"/>
      <c r="B25" s="21" t="s">
        <v>3225</v>
      </c>
      <c r="C25" s="21" t="s">
        <v>3226</v>
      </c>
      <c r="D25" s="21"/>
      <c r="E25" s="21"/>
      <c r="F25" s="21"/>
      <c r="G25" s="21"/>
      <c r="H25" s="21"/>
      <c r="I25" s="21"/>
      <c r="J25" s="21"/>
      <c r="K25" s="21"/>
      <c r="L25" s="21"/>
      <c r="M25" s="21"/>
      <c r="N25" s="21"/>
    </row>
    <row r="26" ht="27.75" customHeight="1">
      <c r="A26" s="21"/>
      <c r="B26" s="21" t="s">
        <v>3227</v>
      </c>
      <c r="C26" s="21" t="s">
        <v>3228</v>
      </c>
      <c r="D26" s="21"/>
      <c r="E26" s="21"/>
      <c r="F26" s="21"/>
      <c r="G26" s="21"/>
      <c r="H26" s="21"/>
      <c r="I26" s="21"/>
      <c r="J26" s="21"/>
      <c r="K26" s="21"/>
      <c r="L26" s="21"/>
      <c r="M26" s="21"/>
      <c r="N26" s="21"/>
    </row>
    <row r="27" ht="27.75" customHeight="1">
      <c r="A27" s="21"/>
      <c r="B27" s="21" t="s">
        <v>3229</v>
      </c>
      <c r="C27" s="21" t="s">
        <v>3230</v>
      </c>
      <c r="D27" s="21"/>
      <c r="E27" s="21"/>
      <c r="F27" s="21"/>
      <c r="G27" s="21"/>
      <c r="H27" s="21"/>
      <c r="I27" s="21"/>
      <c r="J27" s="21"/>
      <c r="K27" s="21"/>
      <c r="L27" s="21"/>
      <c r="M27" s="21"/>
      <c r="N27" s="21"/>
    </row>
    <row r="28" ht="27.75" customHeight="1">
      <c r="A28" s="21"/>
      <c r="B28" s="21" t="s">
        <v>3231</v>
      </c>
      <c r="C28" s="21" t="s">
        <v>3232</v>
      </c>
      <c r="D28" s="21"/>
      <c r="E28" s="21"/>
      <c r="F28" s="21"/>
      <c r="G28" s="21"/>
      <c r="H28" s="21"/>
      <c r="I28" s="21"/>
      <c r="J28" s="21"/>
      <c r="K28" s="21"/>
      <c r="L28" s="21"/>
      <c r="M28" s="21"/>
      <c r="N28" s="21"/>
    </row>
    <row r="29" ht="27.75" customHeight="1">
      <c r="A29" s="21"/>
      <c r="B29" s="21" t="s">
        <v>3233</v>
      </c>
      <c r="C29" s="21" t="s">
        <v>3234</v>
      </c>
      <c r="D29" s="21"/>
      <c r="E29" s="21"/>
      <c r="F29" s="21"/>
      <c r="G29" s="21"/>
      <c r="H29" s="21"/>
      <c r="I29" s="21"/>
      <c r="J29" s="21"/>
      <c r="K29" s="21"/>
      <c r="L29" s="21"/>
      <c r="M29" s="21"/>
      <c r="N29" s="21"/>
    </row>
    <row r="30" ht="27.75" customHeight="1">
      <c r="A30" s="21"/>
      <c r="B30" s="21"/>
      <c r="C30" s="21"/>
      <c r="D30" s="21"/>
      <c r="E30" s="21"/>
      <c r="F30" s="21"/>
      <c r="G30" s="21"/>
      <c r="H30" s="21"/>
      <c r="I30" s="21"/>
      <c r="J30" s="21"/>
      <c r="K30" s="21"/>
      <c r="L30" s="21"/>
      <c r="M30" s="21"/>
      <c r="N30" s="21"/>
    </row>
    <row r="31" ht="27.75" customHeight="1">
      <c r="A31" s="21"/>
      <c r="B31" s="21"/>
      <c r="C31" s="21"/>
      <c r="D31" s="21"/>
      <c r="E31" s="21"/>
      <c r="F31" s="21"/>
      <c r="G31" s="21"/>
      <c r="H31" s="21"/>
      <c r="I31" s="21"/>
      <c r="J31" s="21"/>
      <c r="K31" s="21"/>
      <c r="L31" s="21"/>
      <c r="M31" s="21"/>
      <c r="N31" s="21"/>
    </row>
    <row r="32" ht="27.75" customHeight="1">
      <c r="A32" s="21"/>
      <c r="B32" s="21"/>
      <c r="C32" s="21"/>
      <c r="D32" s="21"/>
      <c r="E32" s="21"/>
      <c r="F32" s="21"/>
      <c r="G32" s="21"/>
      <c r="H32" s="21"/>
      <c r="I32" s="21"/>
      <c r="J32" s="21"/>
      <c r="K32" s="21"/>
      <c r="L32" s="21"/>
      <c r="M32" s="21"/>
      <c r="N32" s="21"/>
    </row>
    <row r="33" ht="27.75" customHeight="1">
      <c r="A33" s="21"/>
      <c r="B33" s="21"/>
      <c r="C33" s="21"/>
      <c r="D33" s="21"/>
      <c r="E33" s="21"/>
      <c r="F33" s="21"/>
      <c r="G33" s="21"/>
      <c r="H33" s="21"/>
      <c r="I33" s="21"/>
      <c r="J33" s="21"/>
      <c r="K33" s="21"/>
      <c r="L33" s="21"/>
      <c r="M33" s="21"/>
      <c r="N33" s="2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8A3C"/>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6.38"/>
    <col customWidth="1" min="2" max="2" width="9.5"/>
    <col customWidth="1" min="3" max="3" width="12.63"/>
    <col customWidth="1" min="4" max="4" width="13.88"/>
    <col customWidth="1" min="5" max="5" width="18.25"/>
    <col customWidth="1" min="6" max="7" width="12.0"/>
    <col customWidth="1" min="8" max="8" width="43.88"/>
    <col customWidth="1" min="9" max="10" width="14.5"/>
    <col customWidth="1" min="11" max="13" width="30.13"/>
    <col customWidth="1" min="14" max="26" width="8.63"/>
  </cols>
  <sheetData>
    <row r="1" ht="27.75" customHeight="1">
      <c r="A1" s="21"/>
      <c r="B1" s="21"/>
      <c r="C1" s="21"/>
      <c r="D1" s="21"/>
      <c r="E1" s="21"/>
      <c r="F1" s="21"/>
      <c r="G1" s="21"/>
      <c r="H1" s="21"/>
      <c r="I1" s="21"/>
      <c r="J1" s="21"/>
      <c r="K1" s="21"/>
      <c r="L1" s="21"/>
    </row>
    <row r="2" ht="27.75" customHeight="1">
      <c r="A2" s="34" t="s">
        <v>3235</v>
      </c>
      <c r="I2" s="21"/>
      <c r="J2" s="21"/>
      <c r="K2" s="21"/>
      <c r="L2" s="21"/>
    </row>
    <row r="3" ht="36.0" customHeight="1">
      <c r="A3" s="35" t="s">
        <v>3236</v>
      </c>
      <c r="I3" s="21"/>
      <c r="J3" s="21"/>
      <c r="K3" s="21"/>
      <c r="L3" s="21"/>
    </row>
    <row r="4" ht="36.0" customHeight="1">
      <c r="A4" s="35" t="s">
        <v>3237</v>
      </c>
      <c r="I4" s="21"/>
      <c r="J4" s="21"/>
      <c r="K4" s="21"/>
      <c r="L4" s="21"/>
    </row>
    <row r="5" ht="27.75" customHeight="1">
      <c r="A5" s="21"/>
      <c r="B5" s="21"/>
      <c r="C5" s="21"/>
      <c r="D5" s="21"/>
      <c r="E5" s="21"/>
      <c r="F5" s="21"/>
      <c r="G5" s="21"/>
      <c r="H5" s="21"/>
      <c r="I5" s="24" t="s">
        <v>3238</v>
      </c>
    </row>
    <row r="6" ht="60.0" customHeight="1">
      <c r="A6" s="36" t="s">
        <v>3239</v>
      </c>
      <c r="B6" s="36" t="s">
        <v>3240</v>
      </c>
      <c r="C6" s="36" t="s">
        <v>3241</v>
      </c>
      <c r="D6" s="36" t="s">
        <v>3242</v>
      </c>
      <c r="E6" s="36" t="s">
        <v>3243</v>
      </c>
      <c r="F6" s="36" t="s">
        <v>3244</v>
      </c>
      <c r="G6" s="36" t="s">
        <v>3245</v>
      </c>
      <c r="H6" s="36" t="s">
        <v>3246</v>
      </c>
      <c r="I6" s="36" t="s">
        <v>3247</v>
      </c>
      <c r="J6" s="36" t="s">
        <v>3248</v>
      </c>
      <c r="K6" s="36" t="s">
        <v>3249</v>
      </c>
      <c r="L6" s="36" t="s">
        <v>3250</v>
      </c>
      <c r="M6" s="36" t="s">
        <v>3251</v>
      </c>
    </row>
    <row r="7" ht="27.75" customHeight="1">
      <c r="A7" s="37"/>
      <c r="B7" s="38"/>
      <c r="C7" s="38"/>
      <c r="D7" s="39" t="b">
        <v>0</v>
      </c>
      <c r="E7" s="40" t="str">
        <f t="array" ref="E7">IF(A7="",IF(COUNTA(I7:M7)&gt;0,"MISSING — equipment name",""),IF(COUNTA(I7:M7)&gt;0,IF(OR(NOT(ISNUMBER(I7)),NOT(ISNUMBER(J7))),"MISSING — project W",IF(OR(I7&lt;0,J7&lt;0),"INVALID — project W",IF(OR(LEN(TRIM(K7))=0,LEN(TRIM(L7))=0,LEN(TRIM(M7))=0),"MISSING — project evidence",IF(OR(NOT(ISNUMBER(B7)),NOT(ISNUMBER(C7))),"MISSING — qty / time",IF(OR(B7&lt;=0,C7&lt;0,C7&gt;1),"INVALID — qty / time",IF(D7&lt;&gt;TRUE,"CONFIRM CONDITIONS",IF(COUNTIF($A$7:$A$26,A7)&gt;1,"CHECK DUPLICATE",IF(COUNTA(I7:M7)&gt;0,"PROJECT INPUT — CONFIRMED","CONDITIONAL ESTIMATE")))))))),IFERROR(IF(OR(NOT(ISNUMBER(INDEX('Approximate heat gains'!$D$6:$D$447,MATCH(A7,'Approximate heat gains'!$B$6:$B$447,0)))),NOT(ISNUMBER(INDEX('Approximate heat gains'!$E$6:$E$447,MATCH(A7,'Approximate heat gains'!$B$6:$B$447,0))))),"BLOCKED — source unresolved",IF(OR(NOT(ISNUMBER(B7)),NOT(ISNUMBER(C7))),"MISSING — qty / time",IF(OR(B7&lt;=0,C7&lt;0,C7&gt;1),"INVALID — qty / time",IF(D7&lt;&gt;TRUE,"CONFIRM CONDITIONS",IF(COUNTIF($A$7:$A$26,A7)&gt;1,"CHECK DUPLICATE",IF(COUNTA(I7:M7)&gt;0,"PROJECT INPUT — CONFIRMED","CONDITIONAL ESTIMATE")))))),"INVALID — equipment name")))</f>
        <v/>
      </c>
      <c r="F7" s="41" t="str">
        <f t="array" ref="F7">IF(E7="PROJECT INPUT — CONFIRMED",B7*C7*I7/1000,IF(E7="CONDITIONAL ESTIMATE",B7*C7*INDEX('Approximate heat gains'!$D$6:$D$447,MATCH(A7,'Approximate heat gains'!$B$6:$B$447,0))/1000,""))</f>
        <v/>
      </c>
      <c r="G7" s="41" t="str">
        <f t="array" ref="G7">IF(E7="PROJECT INPUT — CONFIRMED",B7*C7*J7/1000,IF(E7="CONDITIONAL ESTIMATE",B7*C7*INDEX('Approximate heat gains'!$E$6:$E$447,MATCH(A7,'Approximate heat gains'!$B$6:$B$447,0))/1000,""))</f>
        <v/>
      </c>
      <c r="H7" s="42" t="str">
        <f t="array" ref="H7">IF(COUNTA(I7:M7)&gt;0,"PROJECT INPUT replaces list values. Model/state: "&amp;K7&amp;" | Evidence: "&amp;L7&amp;" | Room and timing: "&amp;M7&amp;" | Confirm D only after checking both W figures, source applicability and duplicate components. This is user confirmation, not engineering approval.",IF(A7="","",IFERROR(INDEX('Approximate heat gains'!$F$6:$F$447,MATCH(A7,'Approximate heat gains'!$B$6:$B$447,0)),"Select an item from the list.")))</f>
        <v/>
      </c>
      <c r="I7" s="43"/>
      <c r="J7" s="43"/>
      <c r="K7" s="44"/>
      <c r="L7" s="44"/>
      <c r="M7" s="44"/>
    </row>
    <row r="8" ht="27.75" customHeight="1">
      <c r="A8" s="37"/>
      <c r="B8" s="38"/>
      <c r="C8" s="38"/>
      <c r="D8" s="39" t="b">
        <v>0</v>
      </c>
      <c r="E8" s="40" t="str">
        <f t="array" ref="E8">IF(A8="",IF(COUNTA(I8:M8)&gt;0,"MISSING — equipment name",""),IF(COUNTA(I8:M8)&gt;0,IF(OR(NOT(ISNUMBER(I8)),NOT(ISNUMBER(J8))),"MISSING — project W",IF(OR(I8&lt;0,J8&lt;0),"INVALID — project W",IF(OR(LEN(TRIM(K8))=0,LEN(TRIM(L8))=0,LEN(TRIM(M8))=0),"MISSING — project evidence",IF(OR(NOT(ISNUMBER(B8)),NOT(ISNUMBER(C8))),"MISSING — qty / time",IF(OR(B8&lt;=0,C8&lt;0,C8&gt;1),"INVALID — qty / time",IF(D8&lt;&gt;TRUE,"CONFIRM CONDITIONS",IF(COUNTIF($A$7:$A$26,A8)&gt;1,"CHECK DUPLICATE",IF(COUNTA(I8:M8)&gt;0,"PROJECT INPUT — CONFIRMED","CONDITIONAL ESTIMATE")))))))),IFERROR(IF(OR(NOT(ISNUMBER(INDEX('Approximate heat gains'!$D$6:$D$447,MATCH(A8,'Approximate heat gains'!$B$6:$B$447,0)))),NOT(ISNUMBER(INDEX('Approximate heat gains'!$E$6:$E$447,MATCH(A8,'Approximate heat gains'!$B$6:$B$447,0))))),"BLOCKED — source unresolved",IF(OR(NOT(ISNUMBER(B8)),NOT(ISNUMBER(C8))),"MISSING — qty / time",IF(OR(B8&lt;=0,C8&lt;0,C8&gt;1),"INVALID — qty / time",IF(D8&lt;&gt;TRUE,"CONFIRM CONDITIONS",IF(COUNTIF($A$7:$A$26,A8)&gt;1,"CHECK DUPLICATE",IF(COUNTA(I8:M8)&gt;0,"PROJECT INPUT — CONFIRMED","CONDITIONAL ESTIMATE")))))),"INVALID — equipment name")))</f>
        <v/>
      </c>
      <c r="F8" s="41" t="str">
        <f t="array" ref="F8">IF(E8="PROJECT INPUT — CONFIRMED",B8*C8*I8/1000,IF(E8="CONDITIONAL ESTIMATE",B8*C8*INDEX('Approximate heat gains'!$D$6:$D$447,MATCH(A8,'Approximate heat gains'!$B$6:$B$447,0))/1000,""))</f>
        <v/>
      </c>
      <c r="G8" s="41" t="str">
        <f t="array" ref="G8">IF(E8="PROJECT INPUT — CONFIRMED",B8*C8*J8/1000,IF(E8="CONDITIONAL ESTIMATE",B8*C8*INDEX('Approximate heat gains'!$E$6:$E$447,MATCH(A8,'Approximate heat gains'!$B$6:$B$447,0))/1000,""))</f>
        <v/>
      </c>
      <c r="H8" s="42" t="str">
        <f t="array" ref="H8">IF(COUNTA(I8:M8)&gt;0,"PROJECT INPUT replaces list values. Model/state: "&amp;K8&amp;" | Evidence: "&amp;L8&amp;" | Room and timing: "&amp;M8&amp;" | Confirm D only after checking both W figures, source applicability and duplicate components. This is user confirmation, not engineering approval.",IF(A8="","",IFERROR(INDEX('Approximate heat gains'!$F$6:$F$447,MATCH(A8,'Approximate heat gains'!$B$6:$B$447,0)),"Select an item from the list.")))</f>
        <v/>
      </c>
      <c r="I8" s="43"/>
      <c r="J8" s="43"/>
      <c r="K8" s="44"/>
      <c r="L8" s="44"/>
      <c r="M8" s="44"/>
    </row>
    <row r="9" ht="27.75" customHeight="1">
      <c r="A9" s="37"/>
      <c r="B9" s="38"/>
      <c r="C9" s="38"/>
      <c r="D9" s="39" t="b">
        <v>0</v>
      </c>
      <c r="E9" s="40" t="str">
        <f t="array" ref="E9">IF(A9="",IF(COUNTA(I9:M9)&gt;0,"MISSING — equipment name",""),IF(COUNTA(I9:M9)&gt;0,IF(OR(NOT(ISNUMBER(I9)),NOT(ISNUMBER(J9))),"MISSING — project W",IF(OR(I9&lt;0,J9&lt;0),"INVALID — project W",IF(OR(LEN(TRIM(K9))=0,LEN(TRIM(L9))=0,LEN(TRIM(M9))=0),"MISSING — project evidence",IF(OR(NOT(ISNUMBER(B9)),NOT(ISNUMBER(C9))),"MISSING — qty / time",IF(OR(B9&lt;=0,C9&lt;0,C9&gt;1),"INVALID — qty / time",IF(D9&lt;&gt;TRUE,"CONFIRM CONDITIONS",IF(COUNTIF($A$7:$A$26,A9)&gt;1,"CHECK DUPLICATE",IF(COUNTA(I9:M9)&gt;0,"PROJECT INPUT — CONFIRMED","CONDITIONAL ESTIMATE")))))))),IFERROR(IF(OR(NOT(ISNUMBER(INDEX('Approximate heat gains'!$D$6:$D$447,MATCH(A9,'Approximate heat gains'!$B$6:$B$447,0)))),NOT(ISNUMBER(INDEX('Approximate heat gains'!$E$6:$E$447,MATCH(A9,'Approximate heat gains'!$B$6:$B$447,0))))),"BLOCKED — source unresolved",IF(OR(NOT(ISNUMBER(B9)),NOT(ISNUMBER(C9))),"MISSING — qty / time",IF(OR(B9&lt;=0,C9&lt;0,C9&gt;1),"INVALID — qty / time",IF(D9&lt;&gt;TRUE,"CONFIRM CONDITIONS",IF(COUNTIF($A$7:$A$26,A9)&gt;1,"CHECK DUPLICATE",IF(COUNTA(I9:M9)&gt;0,"PROJECT INPUT — CONFIRMED","CONDITIONAL ESTIMATE")))))),"INVALID — equipment name")))</f>
        <v/>
      </c>
      <c r="F9" s="41" t="str">
        <f t="array" ref="F9">IF(E9="PROJECT INPUT — CONFIRMED",B9*C9*I9/1000,IF(E9="CONDITIONAL ESTIMATE",B9*C9*INDEX('Approximate heat gains'!$D$6:$D$447,MATCH(A9,'Approximate heat gains'!$B$6:$B$447,0))/1000,""))</f>
        <v/>
      </c>
      <c r="G9" s="41" t="str">
        <f t="array" ref="G9">IF(E9="PROJECT INPUT — CONFIRMED",B9*C9*J9/1000,IF(E9="CONDITIONAL ESTIMATE",B9*C9*INDEX('Approximate heat gains'!$E$6:$E$447,MATCH(A9,'Approximate heat gains'!$B$6:$B$447,0))/1000,""))</f>
        <v/>
      </c>
      <c r="H9" s="42" t="str">
        <f t="array" ref="H9">IF(COUNTA(I9:M9)&gt;0,"PROJECT INPUT replaces list values. Model/state: "&amp;K9&amp;" | Evidence: "&amp;L9&amp;" | Room and timing: "&amp;M9&amp;" | Confirm D only after checking both W figures, source applicability and duplicate components. This is user confirmation, not engineering approval.",IF(A9="","",IFERROR(INDEX('Approximate heat gains'!$F$6:$F$447,MATCH(A9,'Approximate heat gains'!$B$6:$B$447,0)),"Select an item from the list.")))</f>
        <v/>
      </c>
      <c r="I9" s="43"/>
      <c r="J9" s="43"/>
      <c r="K9" s="44"/>
      <c r="L9" s="44"/>
      <c r="M9" s="44"/>
    </row>
    <row r="10" ht="27.75" customHeight="1">
      <c r="A10" s="37"/>
      <c r="B10" s="38"/>
      <c r="C10" s="38"/>
      <c r="D10" s="39" t="b">
        <v>0</v>
      </c>
      <c r="E10" s="40" t="str">
        <f t="array" ref="E10">IF(A10="",IF(COUNTA(I10:M10)&gt;0,"MISSING — equipment name",""),IF(COUNTA(I10:M10)&gt;0,IF(OR(NOT(ISNUMBER(I10)),NOT(ISNUMBER(J10))),"MISSING — project W",IF(OR(I10&lt;0,J10&lt;0),"INVALID — project W",IF(OR(LEN(TRIM(K10))=0,LEN(TRIM(L10))=0,LEN(TRIM(M10))=0),"MISSING — project evidence",IF(OR(NOT(ISNUMBER(B10)),NOT(ISNUMBER(C10))),"MISSING — qty / time",IF(OR(B10&lt;=0,C10&lt;0,C10&gt;1),"INVALID — qty / time",IF(D10&lt;&gt;TRUE,"CONFIRM CONDITIONS",IF(COUNTIF($A$7:$A$26,A10)&gt;1,"CHECK DUPLICATE",IF(COUNTA(I10:M10)&gt;0,"PROJECT INPUT — CONFIRMED","CONDITIONAL ESTIMATE")))))))),IFERROR(IF(OR(NOT(ISNUMBER(INDEX('Approximate heat gains'!$D$6:$D$447,MATCH(A10,'Approximate heat gains'!$B$6:$B$447,0)))),NOT(ISNUMBER(INDEX('Approximate heat gains'!$E$6:$E$447,MATCH(A10,'Approximate heat gains'!$B$6:$B$447,0))))),"BLOCKED — source unresolved",IF(OR(NOT(ISNUMBER(B10)),NOT(ISNUMBER(C10))),"MISSING — qty / time",IF(OR(B10&lt;=0,C10&lt;0,C10&gt;1),"INVALID — qty / time",IF(D10&lt;&gt;TRUE,"CONFIRM CONDITIONS",IF(COUNTIF($A$7:$A$26,A10)&gt;1,"CHECK DUPLICATE",IF(COUNTA(I10:M10)&gt;0,"PROJECT INPUT — CONFIRMED","CONDITIONAL ESTIMATE")))))),"INVALID — equipment name")))</f>
        <v/>
      </c>
      <c r="F10" s="41" t="str">
        <f t="array" ref="F10">IF(E10="PROJECT INPUT — CONFIRMED",B10*C10*I10/1000,IF(E10="CONDITIONAL ESTIMATE",B10*C10*INDEX('Approximate heat gains'!$D$6:$D$447,MATCH(A10,'Approximate heat gains'!$B$6:$B$447,0))/1000,""))</f>
        <v/>
      </c>
      <c r="G10" s="41" t="str">
        <f t="array" ref="G10">IF(E10="PROJECT INPUT — CONFIRMED",B10*C10*J10/1000,IF(E10="CONDITIONAL ESTIMATE",B10*C10*INDEX('Approximate heat gains'!$E$6:$E$447,MATCH(A10,'Approximate heat gains'!$B$6:$B$447,0))/1000,""))</f>
        <v/>
      </c>
      <c r="H10" s="42" t="str">
        <f t="array" ref="H10">IF(COUNTA(I10:M10)&gt;0,"PROJECT INPUT replaces list values. Model/state: "&amp;K10&amp;" | Evidence: "&amp;L10&amp;" | Room and timing: "&amp;M10&amp;" | Confirm D only after checking both W figures, source applicability and duplicate components. This is user confirmation, not engineering approval.",IF(A10="","",IFERROR(INDEX('Approximate heat gains'!$F$6:$F$447,MATCH(A10,'Approximate heat gains'!$B$6:$B$447,0)),"Select an item from the list.")))</f>
        <v/>
      </c>
      <c r="I10" s="43"/>
      <c r="J10" s="43"/>
      <c r="K10" s="44"/>
      <c r="L10" s="44"/>
      <c r="M10" s="44"/>
    </row>
    <row r="11" ht="27.75" customHeight="1">
      <c r="A11" s="37"/>
      <c r="B11" s="38"/>
      <c r="C11" s="38"/>
      <c r="D11" s="39" t="b">
        <v>0</v>
      </c>
      <c r="E11" s="40" t="str">
        <f t="array" ref="E11">IF(A11="",IF(COUNTA(I11:M11)&gt;0,"MISSING — equipment name",""),IF(COUNTA(I11:M11)&gt;0,IF(OR(NOT(ISNUMBER(I11)),NOT(ISNUMBER(J11))),"MISSING — project W",IF(OR(I11&lt;0,J11&lt;0),"INVALID — project W",IF(OR(LEN(TRIM(K11))=0,LEN(TRIM(L11))=0,LEN(TRIM(M11))=0),"MISSING — project evidence",IF(OR(NOT(ISNUMBER(B11)),NOT(ISNUMBER(C11))),"MISSING — qty / time",IF(OR(B11&lt;=0,C11&lt;0,C11&gt;1),"INVALID — qty / time",IF(D11&lt;&gt;TRUE,"CONFIRM CONDITIONS",IF(COUNTIF($A$7:$A$26,A11)&gt;1,"CHECK DUPLICATE",IF(COUNTA(I11:M11)&gt;0,"PROJECT INPUT — CONFIRMED","CONDITIONAL ESTIMATE")))))))),IFERROR(IF(OR(NOT(ISNUMBER(INDEX('Approximate heat gains'!$D$6:$D$447,MATCH(A11,'Approximate heat gains'!$B$6:$B$447,0)))),NOT(ISNUMBER(INDEX('Approximate heat gains'!$E$6:$E$447,MATCH(A11,'Approximate heat gains'!$B$6:$B$447,0))))),"BLOCKED — source unresolved",IF(OR(NOT(ISNUMBER(B11)),NOT(ISNUMBER(C11))),"MISSING — qty / time",IF(OR(B11&lt;=0,C11&lt;0,C11&gt;1),"INVALID — qty / time",IF(D11&lt;&gt;TRUE,"CONFIRM CONDITIONS",IF(COUNTIF($A$7:$A$26,A11)&gt;1,"CHECK DUPLICATE",IF(COUNTA(I11:M11)&gt;0,"PROJECT INPUT — CONFIRMED","CONDITIONAL ESTIMATE")))))),"INVALID — equipment name")))</f>
        <v/>
      </c>
      <c r="F11" s="41" t="str">
        <f t="array" ref="F11">IF(E11="PROJECT INPUT — CONFIRMED",B11*C11*I11/1000,IF(E11="CONDITIONAL ESTIMATE",B11*C11*INDEX('Approximate heat gains'!$D$6:$D$447,MATCH(A11,'Approximate heat gains'!$B$6:$B$447,0))/1000,""))</f>
        <v/>
      </c>
      <c r="G11" s="41" t="str">
        <f t="array" ref="G11">IF(E11="PROJECT INPUT — CONFIRMED",B11*C11*J11/1000,IF(E11="CONDITIONAL ESTIMATE",B11*C11*INDEX('Approximate heat gains'!$E$6:$E$447,MATCH(A11,'Approximate heat gains'!$B$6:$B$447,0))/1000,""))</f>
        <v/>
      </c>
      <c r="H11" s="42" t="str">
        <f t="array" ref="H11">IF(COUNTA(I11:M11)&gt;0,"PROJECT INPUT replaces list values. Model/state: "&amp;K11&amp;" | Evidence: "&amp;L11&amp;" | Room and timing: "&amp;M11&amp;" | Confirm D only after checking both W figures, source applicability and duplicate components. This is user confirmation, not engineering approval.",IF(A11="","",IFERROR(INDEX('Approximate heat gains'!$F$6:$F$447,MATCH(A11,'Approximate heat gains'!$B$6:$B$447,0)),"Select an item from the list.")))</f>
        <v/>
      </c>
      <c r="I11" s="43"/>
      <c r="J11" s="43"/>
      <c r="K11" s="44"/>
      <c r="L11" s="44"/>
      <c r="M11" s="44"/>
    </row>
    <row r="12" ht="27.75" customHeight="1">
      <c r="A12" s="37"/>
      <c r="B12" s="38"/>
      <c r="C12" s="38"/>
      <c r="D12" s="39" t="b">
        <v>0</v>
      </c>
      <c r="E12" s="40" t="str">
        <f t="array" ref="E12">IF(A12="",IF(COUNTA(I12:M12)&gt;0,"MISSING — equipment name",""),IF(COUNTA(I12:M12)&gt;0,IF(OR(NOT(ISNUMBER(I12)),NOT(ISNUMBER(J12))),"MISSING — project W",IF(OR(I12&lt;0,J12&lt;0),"INVALID — project W",IF(OR(LEN(TRIM(K12))=0,LEN(TRIM(L12))=0,LEN(TRIM(M12))=0),"MISSING — project evidence",IF(OR(NOT(ISNUMBER(B12)),NOT(ISNUMBER(C12))),"MISSING — qty / time",IF(OR(B12&lt;=0,C12&lt;0,C12&gt;1),"INVALID — qty / time",IF(D12&lt;&gt;TRUE,"CONFIRM CONDITIONS",IF(COUNTIF($A$7:$A$26,A12)&gt;1,"CHECK DUPLICATE",IF(COUNTA(I12:M12)&gt;0,"PROJECT INPUT — CONFIRMED","CONDITIONAL ESTIMATE")))))))),IFERROR(IF(OR(NOT(ISNUMBER(INDEX('Approximate heat gains'!$D$6:$D$447,MATCH(A12,'Approximate heat gains'!$B$6:$B$447,0)))),NOT(ISNUMBER(INDEX('Approximate heat gains'!$E$6:$E$447,MATCH(A12,'Approximate heat gains'!$B$6:$B$447,0))))),"BLOCKED — source unresolved",IF(OR(NOT(ISNUMBER(B12)),NOT(ISNUMBER(C12))),"MISSING — qty / time",IF(OR(B12&lt;=0,C12&lt;0,C12&gt;1),"INVALID — qty / time",IF(D12&lt;&gt;TRUE,"CONFIRM CONDITIONS",IF(COUNTIF($A$7:$A$26,A12)&gt;1,"CHECK DUPLICATE",IF(COUNTA(I12:M12)&gt;0,"PROJECT INPUT — CONFIRMED","CONDITIONAL ESTIMATE")))))),"INVALID — equipment name")))</f>
        <v/>
      </c>
      <c r="F12" s="41" t="str">
        <f t="array" ref="F12">IF(E12="PROJECT INPUT — CONFIRMED",B12*C12*I12/1000,IF(E12="CONDITIONAL ESTIMATE",B12*C12*INDEX('Approximate heat gains'!$D$6:$D$447,MATCH(A12,'Approximate heat gains'!$B$6:$B$447,0))/1000,""))</f>
        <v/>
      </c>
      <c r="G12" s="41" t="str">
        <f t="array" ref="G12">IF(E12="PROJECT INPUT — CONFIRMED",B12*C12*J12/1000,IF(E12="CONDITIONAL ESTIMATE",B12*C12*INDEX('Approximate heat gains'!$E$6:$E$447,MATCH(A12,'Approximate heat gains'!$B$6:$B$447,0))/1000,""))</f>
        <v/>
      </c>
      <c r="H12" s="42" t="str">
        <f t="array" ref="H12">IF(COUNTA(I12:M12)&gt;0,"PROJECT INPUT replaces list values. Model/state: "&amp;K12&amp;" | Evidence: "&amp;L12&amp;" | Room and timing: "&amp;M12&amp;" | Confirm D only after checking both W figures, source applicability and duplicate components. This is user confirmation, not engineering approval.",IF(A12="","",IFERROR(INDEX('Approximate heat gains'!$F$6:$F$447,MATCH(A12,'Approximate heat gains'!$B$6:$B$447,0)),"Select an item from the list.")))</f>
        <v/>
      </c>
      <c r="I12" s="43"/>
      <c r="J12" s="43"/>
      <c r="K12" s="44"/>
      <c r="L12" s="44"/>
      <c r="M12" s="44"/>
    </row>
    <row r="13" ht="27.75" customHeight="1">
      <c r="A13" s="37"/>
      <c r="B13" s="38"/>
      <c r="C13" s="38"/>
      <c r="D13" s="39" t="b">
        <v>0</v>
      </c>
      <c r="E13" s="40" t="str">
        <f t="array" ref="E13">IF(A13="",IF(COUNTA(I13:M13)&gt;0,"MISSING — equipment name",""),IF(COUNTA(I13:M13)&gt;0,IF(OR(NOT(ISNUMBER(I13)),NOT(ISNUMBER(J13))),"MISSING — project W",IF(OR(I13&lt;0,J13&lt;0),"INVALID — project W",IF(OR(LEN(TRIM(K13))=0,LEN(TRIM(L13))=0,LEN(TRIM(M13))=0),"MISSING — project evidence",IF(OR(NOT(ISNUMBER(B13)),NOT(ISNUMBER(C13))),"MISSING — qty / time",IF(OR(B13&lt;=0,C13&lt;0,C13&gt;1),"INVALID — qty / time",IF(D13&lt;&gt;TRUE,"CONFIRM CONDITIONS",IF(COUNTIF($A$7:$A$26,A13)&gt;1,"CHECK DUPLICATE",IF(COUNTA(I13:M13)&gt;0,"PROJECT INPUT — CONFIRMED","CONDITIONAL ESTIMATE")))))))),IFERROR(IF(OR(NOT(ISNUMBER(INDEX('Approximate heat gains'!$D$6:$D$447,MATCH(A13,'Approximate heat gains'!$B$6:$B$447,0)))),NOT(ISNUMBER(INDEX('Approximate heat gains'!$E$6:$E$447,MATCH(A13,'Approximate heat gains'!$B$6:$B$447,0))))),"BLOCKED — source unresolved",IF(OR(NOT(ISNUMBER(B13)),NOT(ISNUMBER(C13))),"MISSING — qty / time",IF(OR(B13&lt;=0,C13&lt;0,C13&gt;1),"INVALID — qty / time",IF(D13&lt;&gt;TRUE,"CONFIRM CONDITIONS",IF(COUNTIF($A$7:$A$26,A13)&gt;1,"CHECK DUPLICATE",IF(COUNTA(I13:M13)&gt;0,"PROJECT INPUT — CONFIRMED","CONDITIONAL ESTIMATE")))))),"INVALID — equipment name")))</f>
        <v/>
      </c>
      <c r="F13" s="41" t="str">
        <f t="array" ref="F13">IF(E13="PROJECT INPUT — CONFIRMED",B13*C13*I13/1000,IF(E13="CONDITIONAL ESTIMATE",B13*C13*INDEX('Approximate heat gains'!$D$6:$D$447,MATCH(A13,'Approximate heat gains'!$B$6:$B$447,0))/1000,""))</f>
        <v/>
      </c>
      <c r="G13" s="41" t="str">
        <f t="array" ref="G13">IF(E13="PROJECT INPUT — CONFIRMED",B13*C13*J13/1000,IF(E13="CONDITIONAL ESTIMATE",B13*C13*INDEX('Approximate heat gains'!$E$6:$E$447,MATCH(A13,'Approximate heat gains'!$B$6:$B$447,0))/1000,""))</f>
        <v/>
      </c>
      <c r="H13" s="42" t="str">
        <f t="array" ref="H13">IF(COUNTA(I13:M13)&gt;0,"PROJECT INPUT replaces list values. Model/state: "&amp;K13&amp;" | Evidence: "&amp;L13&amp;" | Room and timing: "&amp;M13&amp;" | Confirm D only after checking both W figures, source applicability and duplicate components. This is user confirmation, not engineering approval.",IF(A13="","",IFERROR(INDEX('Approximate heat gains'!$F$6:$F$447,MATCH(A13,'Approximate heat gains'!$B$6:$B$447,0)),"Select an item from the list.")))</f>
        <v/>
      </c>
      <c r="I13" s="43"/>
      <c r="J13" s="43"/>
      <c r="K13" s="44"/>
      <c r="L13" s="44"/>
      <c r="M13" s="44"/>
    </row>
    <row r="14" ht="27.75" customHeight="1">
      <c r="A14" s="37"/>
      <c r="B14" s="38"/>
      <c r="C14" s="38"/>
      <c r="D14" s="39" t="b">
        <v>0</v>
      </c>
      <c r="E14" s="40" t="str">
        <f t="array" ref="E14">IF(A14="",IF(COUNTA(I14:M14)&gt;0,"MISSING — equipment name",""),IF(COUNTA(I14:M14)&gt;0,IF(OR(NOT(ISNUMBER(I14)),NOT(ISNUMBER(J14))),"MISSING — project W",IF(OR(I14&lt;0,J14&lt;0),"INVALID — project W",IF(OR(LEN(TRIM(K14))=0,LEN(TRIM(L14))=0,LEN(TRIM(M14))=0),"MISSING — project evidence",IF(OR(NOT(ISNUMBER(B14)),NOT(ISNUMBER(C14))),"MISSING — qty / time",IF(OR(B14&lt;=0,C14&lt;0,C14&gt;1),"INVALID — qty / time",IF(D14&lt;&gt;TRUE,"CONFIRM CONDITIONS",IF(COUNTIF($A$7:$A$26,A14)&gt;1,"CHECK DUPLICATE",IF(COUNTA(I14:M14)&gt;0,"PROJECT INPUT — CONFIRMED","CONDITIONAL ESTIMATE")))))))),IFERROR(IF(OR(NOT(ISNUMBER(INDEX('Approximate heat gains'!$D$6:$D$447,MATCH(A14,'Approximate heat gains'!$B$6:$B$447,0)))),NOT(ISNUMBER(INDEX('Approximate heat gains'!$E$6:$E$447,MATCH(A14,'Approximate heat gains'!$B$6:$B$447,0))))),"BLOCKED — source unresolved",IF(OR(NOT(ISNUMBER(B14)),NOT(ISNUMBER(C14))),"MISSING — qty / time",IF(OR(B14&lt;=0,C14&lt;0,C14&gt;1),"INVALID — qty / time",IF(D14&lt;&gt;TRUE,"CONFIRM CONDITIONS",IF(COUNTIF($A$7:$A$26,A14)&gt;1,"CHECK DUPLICATE",IF(COUNTA(I14:M14)&gt;0,"PROJECT INPUT — CONFIRMED","CONDITIONAL ESTIMATE")))))),"INVALID — equipment name")))</f>
        <v/>
      </c>
      <c r="F14" s="41" t="str">
        <f t="array" ref="F14">IF(E14="PROJECT INPUT — CONFIRMED",B14*C14*I14/1000,IF(E14="CONDITIONAL ESTIMATE",B14*C14*INDEX('Approximate heat gains'!$D$6:$D$447,MATCH(A14,'Approximate heat gains'!$B$6:$B$447,0))/1000,""))</f>
        <v/>
      </c>
      <c r="G14" s="41" t="str">
        <f t="array" ref="G14">IF(E14="PROJECT INPUT — CONFIRMED",B14*C14*J14/1000,IF(E14="CONDITIONAL ESTIMATE",B14*C14*INDEX('Approximate heat gains'!$E$6:$E$447,MATCH(A14,'Approximate heat gains'!$B$6:$B$447,0))/1000,""))</f>
        <v/>
      </c>
      <c r="H14" s="42" t="str">
        <f t="array" ref="H14">IF(COUNTA(I14:M14)&gt;0,"PROJECT INPUT replaces list values. Model/state: "&amp;K14&amp;" | Evidence: "&amp;L14&amp;" | Room and timing: "&amp;M14&amp;" | Confirm D only after checking both W figures, source applicability and duplicate components. This is user confirmation, not engineering approval.",IF(A14="","",IFERROR(INDEX('Approximate heat gains'!$F$6:$F$447,MATCH(A14,'Approximate heat gains'!$B$6:$B$447,0)),"Select an item from the list.")))</f>
        <v/>
      </c>
      <c r="I14" s="43"/>
      <c r="J14" s="43"/>
      <c r="K14" s="44"/>
      <c r="L14" s="44"/>
      <c r="M14" s="44"/>
    </row>
    <row r="15" ht="27.75" customHeight="1">
      <c r="A15" s="37"/>
      <c r="B15" s="38"/>
      <c r="C15" s="38"/>
      <c r="D15" s="39" t="b">
        <v>0</v>
      </c>
      <c r="E15" s="40" t="str">
        <f t="array" ref="E15">IF(A15="",IF(COUNTA(I15:M15)&gt;0,"MISSING — equipment name",""),IF(COUNTA(I15:M15)&gt;0,IF(OR(NOT(ISNUMBER(I15)),NOT(ISNUMBER(J15))),"MISSING — project W",IF(OR(I15&lt;0,J15&lt;0),"INVALID — project W",IF(OR(LEN(TRIM(K15))=0,LEN(TRIM(L15))=0,LEN(TRIM(M15))=0),"MISSING — project evidence",IF(OR(NOT(ISNUMBER(B15)),NOT(ISNUMBER(C15))),"MISSING — qty / time",IF(OR(B15&lt;=0,C15&lt;0,C15&gt;1),"INVALID — qty / time",IF(D15&lt;&gt;TRUE,"CONFIRM CONDITIONS",IF(COUNTIF($A$7:$A$26,A15)&gt;1,"CHECK DUPLICATE",IF(COUNTA(I15:M15)&gt;0,"PROJECT INPUT — CONFIRMED","CONDITIONAL ESTIMATE")))))))),IFERROR(IF(OR(NOT(ISNUMBER(INDEX('Approximate heat gains'!$D$6:$D$447,MATCH(A15,'Approximate heat gains'!$B$6:$B$447,0)))),NOT(ISNUMBER(INDEX('Approximate heat gains'!$E$6:$E$447,MATCH(A15,'Approximate heat gains'!$B$6:$B$447,0))))),"BLOCKED — source unresolved",IF(OR(NOT(ISNUMBER(B15)),NOT(ISNUMBER(C15))),"MISSING — qty / time",IF(OR(B15&lt;=0,C15&lt;0,C15&gt;1),"INVALID — qty / time",IF(D15&lt;&gt;TRUE,"CONFIRM CONDITIONS",IF(COUNTIF($A$7:$A$26,A15)&gt;1,"CHECK DUPLICATE",IF(COUNTA(I15:M15)&gt;0,"PROJECT INPUT — CONFIRMED","CONDITIONAL ESTIMATE")))))),"INVALID — equipment name")))</f>
        <v/>
      </c>
      <c r="F15" s="41" t="str">
        <f t="array" ref="F15">IF(E15="PROJECT INPUT — CONFIRMED",B15*C15*I15/1000,IF(E15="CONDITIONAL ESTIMATE",B15*C15*INDEX('Approximate heat gains'!$D$6:$D$447,MATCH(A15,'Approximate heat gains'!$B$6:$B$447,0))/1000,""))</f>
        <v/>
      </c>
      <c r="G15" s="41" t="str">
        <f t="array" ref="G15">IF(E15="PROJECT INPUT — CONFIRMED",B15*C15*J15/1000,IF(E15="CONDITIONAL ESTIMATE",B15*C15*INDEX('Approximate heat gains'!$E$6:$E$447,MATCH(A15,'Approximate heat gains'!$B$6:$B$447,0))/1000,""))</f>
        <v/>
      </c>
      <c r="H15" s="42" t="str">
        <f t="array" ref="H15">IF(COUNTA(I15:M15)&gt;0,"PROJECT INPUT replaces list values. Model/state: "&amp;K15&amp;" | Evidence: "&amp;L15&amp;" | Room and timing: "&amp;M15&amp;" | Confirm D only after checking both W figures, source applicability and duplicate components. This is user confirmation, not engineering approval.",IF(A15="","",IFERROR(INDEX('Approximate heat gains'!$F$6:$F$447,MATCH(A15,'Approximate heat gains'!$B$6:$B$447,0)),"Select an item from the list.")))</f>
        <v/>
      </c>
      <c r="I15" s="43"/>
      <c r="J15" s="43"/>
      <c r="K15" s="44"/>
      <c r="L15" s="44"/>
      <c r="M15" s="44"/>
    </row>
    <row r="16" ht="27.75" customHeight="1">
      <c r="A16" s="37"/>
      <c r="B16" s="38"/>
      <c r="C16" s="38"/>
      <c r="D16" s="39" t="b">
        <v>0</v>
      </c>
      <c r="E16" s="40" t="str">
        <f t="array" ref="E16">IF(A16="",IF(COUNTA(I16:M16)&gt;0,"MISSING — equipment name",""),IF(COUNTA(I16:M16)&gt;0,IF(OR(NOT(ISNUMBER(I16)),NOT(ISNUMBER(J16))),"MISSING — project W",IF(OR(I16&lt;0,J16&lt;0),"INVALID — project W",IF(OR(LEN(TRIM(K16))=0,LEN(TRIM(L16))=0,LEN(TRIM(M16))=0),"MISSING — project evidence",IF(OR(NOT(ISNUMBER(B16)),NOT(ISNUMBER(C16))),"MISSING — qty / time",IF(OR(B16&lt;=0,C16&lt;0,C16&gt;1),"INVALID — qty / time",IF(D16&lt;&gt;TRUE,"CONFIRM CONDITIONS",IF(COUNTIF($A$7:$A$26,A16)&gt;1,"CHECK DUPLICATE",IF(COUNTA(I16:M16)&gt;0,"PROJECT INPUT — CONFIRMED","CONDITIONAL ESTIMATE")))))))),IFERROR(IF(OR(NOT(ISNUMBER(INDEX('Approximate heat gains'!$D$6:$D$447,MATCH(A16,'Approximate heat gains'!$B$6:$B$447,0)))),NOT(ISNUMBER(INDEX('Approximate heat gains'!$E$6:$E$447,MATCH(A16,'Approximate heat gains'!$B$6:$B$447,0))))),"BLOCKED — source unresolved",IF(OR(NOT(ISNUMBER(B16)),NOT(ISNUMBER(C16))),"MISSING — qty / time",IF(OR(B16&lt;=0,C16&lt;0,C16&gt;1),"INVALID — qty / time",IF(D16&lt;&gt;TRUE,"CONFIRM CONDITIONS",IF(COUNTIF($A$7:$A$26,A16)&gt;1,"CHECK DUPLICATE",IF(COUNTA(I16:M16)&gt;0,"PROJECT INPUT — CONFIRMED","CONDITIONAL ESTIMATE")))))),"INVALID — equipment name")))</f>
        <v/>
      </c>
      <c r="F16" s="41" t="str">
        <f t="array" ref="F16">IF(E16="PROJECT INPUT — CONFIRMED",B16*C16*I16/1000,IF(E16="CONDITIONAL ESTIMATE",B16*C16*INDEX('Approximate heat gains'!$D$6:$D$447,MATCH(A16,'Approximate heat gains'!$B$6:$B$447,0))/1000,""))</f>
        <v/>
      </c>
      <c r="G16" s="41" t="str">
        <f t="array" ref="G16">IF(E16="PROJECT INPUT — CONFIRMED",B16*C16*J16/1000,IF(E16="CONDITIONAL ESTIMATE",B16*C16*INDEX('Approximate heat gains'!$E$6:$E$447,MATCH(A16,'Approximate heat gains'!$B$6:$B$447,0))/1000,""))</f>
        <v/>
      </c>
      <c r="H16" s="42" t="str">
        <f t="array" ref="H16">IF(COUNTA(I16:M16)&gt;0,"PROJECT INPUT replaces list values. Model/state: "&amp;K16&amp;" | Evidence: "&amp;L16&amp;" | Room and timing: "&amp;M16&amp;" | Confirm D only after checking both W figures, source applicability and duplicate components. This is user confirmation, not engineering approval.",IF(A16="","",IFERROR(INDEX('Approximate heat gains'!$F$6:$F$447,MATCH(A16,'Approximate heat gains'!$B$6:$B$447,0)),"Select an item from the list.")))</f>
        <v/>
      </c>
      <c r="I16" s="43"/>
      <c r="J16" s="43"/>
      <c r="K16" s="44"/>
      <c r="L16" s="44"/>
      <c r="M16" s="44"/>
    </row>
    <row r="17" ht="27.75" customHeight="1">
      <c r="A17" s="37"/>
      <c r="B17" s="38"/>
      <c r="C17" s="38"/>
      <c r="D17" s="39" t="b">
        <v>0</v>
      </c>
      <c r="E17" s="40" t="str">
        <f t="array" ref="E17">IF(A17="",IF(COUNTA(I17:M17)&gt;0,"MISSING — equipment name",""),IF(COUNTA(I17:M17)&gt;0,IF(OR(NOT(ISNUMBER(I17)),NOT(ISNUMBER(J17))),"MISSING — project W",IF(OR(I17&lt;0,J17&lt;0),"INVALID — project W",IF(OR(LEN(TRIM(K17))=0,LEN(TRIM(L17))=0,LEN(TRIM(M17))=0),"MISSING — project evidence",IF(OR(NOT(ISNUMBER(B17)),NOT(ISNUMBER(C17))),"MISSING — qty / time",IF(OR(B17&lt;=0,C17&lt;0,C17&gt;1),"INVALID — qty / time",IF(D17&lt;&gt;TRUE,"CONFIRM CONDITIONS",IF(COUNTIF($A$7:$A$26,A17)&gt;1,"CHECK DUPLICATE",IF(COUNTA(I17:M17)&gt;0,"PROJECT INPUT — CONFIRMED","CONDITIONAL ESTIMATE")))))))),IFERROR(IF(OR(NOT(ISNUMBER(INDEX('Approximate heat gains'!$D$6:$D$447,MATCH(A17,'Approximate heat gains'!$B$6:$B$447,0)))),NOT(ISNUMBER(INDEX('Approximate heat gains'!$E$6:$E$447,MATCH(A17,'Approximate heat gains'!$B$6:$B$447,0))))),"BLOCKED — source unresolved",IF(OR(NOT(ISNUMBER(B17)),NOT(ISNUMBER(C17))),"MISSING — qty / time",IF(OR(B17&lt;=0,C17&lt;0,C17&gt;1),"INVALID — qty / time",IF(D17&lt;&gt;TRUE,"CONFIRM CONDITIONS",IF(COUNTIF($A$7:$A$26,A17)&gt;1,"CHECK DUPLICATE",IF(COUNTA(I17:M17)&gt;0,"PROJECT INPUT — CONFIRMED","CONDITIONAL ESTIMATE")))))),"INVALID — equipment name")))</f>
        <v/>
      </c>
      <c r="F17" s="41" t="str">
        <f t="array" ref="F17">IF(E17="PROJECT INPUT — CONFIRMED",B17*C17*I17/1000,IF(E17="CONDITIONAL ESTIMATE",B17*C17*INDEX('Approximate heat gains'!$D$6:$D$447,MATCH(A17,'Approximate heat gains'!$B$6:$B$447,0))/1000,""))</f>
        <v/>
      </c>
      <c r="G17" s="41" t="str">
        <f t="array" ref="G17">IF(E17="PROJECT INPUT — CONFIRMED",B17*C17*J17/1000,IF(E17="CONDITIONAL ESTIMATE",B17*C17*INDEX('Approximate heat gains'!$E$6:$E$447,MATCH(A17,'Approximate heat gains'!$B$6:$B$447,0))/1000,""))</f>
        <v/>
      </c>
      <c r="H17" s="42" t="str">
        <f t="array" ref="H17">IF(COUNTA(I17:M17)&gt;0,"PROJECT INPUT replaces list values. Model/state: "&amp;K17&amp;" | Evidence: "&amp;L17&amp;" | Room and timing: "&amp;M17&amp;" | Confirm D only after checking both W figures, source applicability and duplicate components. This is user confirmation, not engineering approval.",IF(A17="","",IFERROR(INDEX('Approximate heat gains'!$F$6:$F$447,MATCH(A17,'Approximate heat gains'!$B$6:$B$447,0)),"Select an item from the list.")))</f>
        <v/>
      </c>
      <c r="I17" s="43"/>
      <c r="J17" s="43"/>
      <c r="K17" s="44"/>
      <c r="L17" s="44"/>
      <c r="M17" s="44"/>
    </row>
    <row r="18" ht="27.75" customHeight="1">
      <c r="A18" s="37"/>
      <c r="B18" s="38"/>
      <c r="C18" s="38"/>
      <c r="D18" s="39" t="b">
        <v>0</v>
      </c>
      <c r="E18" s="40" t="str">
        <f t="array" ref="E18">IF(A18="",IF(COUNTA(I18:M18)&gt;0,"MISSING — equipment name",""),IF(COUNTA(I18:M18)&gt;0,IF(OR(NOT(ISNUMBER(I18)),NOT(ISNUMBER(J18))),"MISSING — project W",IF(OR(I18&lt;0,J18&lt;0),"INVALID — project W",IF(OR(LEN(TRIM(K18))=0,LEN(TRIM(L18))=0,LEN(TRIM(M18))=0),"MISSING — project evidence",IF(OR(NOT(ISNUMBER(B18)),NOT(ISNUMBER(C18))),"MISSING — qty / time",IF(OR(B18&lt;=0,C18&lt;0,C18&gt;1),"INVALID — qty / time",IF(D18&lt;&gt;TRUE,"CONFIRM CONDITIONS",IF(COUNTIF($A$7:$A$26,A18)&gt;1,"CHECK DUPLICATE",IF(COUNTA(I18:M18)&gt;0,"PROJECT INPUT — CONFIRMED","CONDITIONAL ESTIMATE")))))))),IFERROR(IF(OR(NOT(ISNUMBER(INDEX('Approximate heat gains'!$D$6:$D$447,MATCH(A18,'Approximate heat gains'!$B$6:$B$447,0)))),NOT(ISNUMBER(INDEX('Approximate heat gains'!$E$6:$E$447,MATCH(A18,'Approximate heat gains'!$B$6:$B$447,0))))),"BLOCKED — source unresolved",IF(OR(NOT(ISNUMBER(B18)),NOT(ISNUMBER(C18))),"MISSING — qty / time",IF(OR(B18&lt;=0,C18&lt;0,C18&gt;1),"INVALID — qty / time",IF(D18&lt;&gt;TRUE,"CONFIRM CONDITIONS",IF(COUNTIF($A$7:$A$26,A18)&gt;1,"CHECK DUPLICATE",IF(COUNTA(I18:M18)&gt;0,"PROJECT INPUT — CONFIRMED","CONDITIONAL ESTIMATE")))))),"INVALID — equipment name")))</f>
        <v/>
      </c>
      <c r="F18" s="41" t="str">
        <f t="array" ref="F18">IF(E18="PROJECT INPUT — CONFIRMED",B18*C18*I18/1000,IF(E18="CONDITIONAL ESTIMATE",B18*C18*INDEX('Approximate heat gains'!$D$6:$D$447,MATCH(A18,'Approximate heat gains'!$B$6:$B$447,0))/1000,""))</f>
        <v/>
      </c>
      <c r="G18" s="41" t="str">
        <f t="array" ref="G18">IF(E18="PROJECT INPUT — CONFIRMED",B18*C18*J18/1000,IF(E18="CONDITIONAL ESTIMATE",B18*C18*INDEX('Approximate heat gains'!$E$6:$E$447,MATCH(A18,'Approximate heat gains'!$B$6:$B$447,0))/1000,""))</f>
        <v/>
      </c>
      <c r="H18" s="42" t="str">
        <f t="array" ref="H18">IF(COUNTA(I18:M18)&gt;0,"PROJECT INPUT replaces list values. Model/state: "&amp;K18&amp;" | Evidence: "&amp;L18&amp;" | Room and timing: "&amp;M18&amp;" | Confirm D only after checking both W figures, source applicability and duplicate components. This is user confirmation, not engineering approval.",IF(A18="","",IFERROR(INDEX('Approximate heat gains'!$F$6:$F$447,MATCH(A18,'Approximate heat gains'!$B$6:$B$447,0)),"Select an item from the list.")))</f>
        <v/>
      </c>
      <c r="I18" s="43"/>
      <c r="J18" s="43"/>
      <c r="K18" s="44"/>
      <c r="L18" s="44"/>
      <c r="M18" s="44"/>
    </row>
    <row r="19" ht="27.75" customHeight="1">
      <c r="A19" s="37"/>
      <c r="B19" s="38"/>
      <c r="C19" s="38"/>
      <c r="D19" s="39" t="b">
        <v>0</v>
      </c>
      <c r="E19" s="40" t="str">
        <f t="array" ref="E19">IF(A19="",IF(COUNTA(I19:M19)&gt;0,"MISSING — equipment name",""),IF(COUNTA(I19:M19)&gt;0,IF(OR(NOT(ISNUMBER(I19)),NOT(ISNUMBER(J19))),"MISSING — project W",IF(OR(I19&lt;0,J19&lt;0),"INVALID — project W",IF(OR(LEN(TRIM(K19))=0,LEN(TRIM(L19))=0,LEN(TRIM(M19))=0),"MISSING — project evidence",IF(OR(NOT(ISNUMBER(B19)),NOT(ISNUMBER(C19))),"MISSING — qty / time",IF(OR(B19&lt;=0,C19&lt;0,C19&gt;1),"INVALID — qty / time",IF(D19&lt;&gt;TRUE,"CONFIRM CONDITIONS",IF(COUNTIF($A$7:$A$26,A19)&gt;1,"CHECK DUPLICATE",IF(COUNTA(I19:M19)&gt;0,"PROJECT INPUT — CONFIRMED","CONDITIONAL ESTIMATE")))))))),IFERROR(IF(OR(NOT(ISNUMBER(INDEX('Approximate heat gains'!$D$6:$D$447,MATCH(A19,'Approximate heat gains'!$B$6:$B$447,0)))),NOT(ISNUMBER(INDEX('Approximate heat gains'!$E$6:$E$447,MATCH(A19,'Approximate heat gains'!$B$6:$B$447,0))))),"BLOCKED — source unresolved",IF(OR(NOT(ISNUMBER(B19)),NOT(ISNUMBER(C19))),"MISSING — qty / time",IF(OR(B19&lt;=0,C19&lt;0,C19&gt;1),"INVALID — qty / time",IF(D19&lt;&gt;TRUE,"CONFIRM CONDITIONS",IF(COUNTIF($A$7:$A$26,A19)&gt;1,"CHECK DUPLICATE",IF(COUNTA(I19:M19)&gt;0,"PROJECT INPUT — CONFIRMED","CONDITIONAL ESTIMATE")))))),"INVALID — equipment name")))</f>
        <v/>
      </c>
      <c r="F19" s="41" t="str">
        <f t="array" ref="F19">IF(E19="PROJECT INPUT — CONFIRMED",B19*C19*I19/1000,IF(E19="CONDITIONAL ESTIMATE",B19*C19*INDEX('Approximate heat gains'!$D$6:$D$447,MATCH(A19,'Approximate heat gains'!$B$6:$B$447,0))/1000,""))</f>
        <v/>
      </c>
      <c r="G19" s="41" t="str">
        <f t="array" ref="G19">IF(E19="PROJECT INPUT — CONFIRMED",B19*C19*J19/1000,IF(E19="CONDITIONAL ESTIMATE",B19*C19*INDEX('Approximate heat gains'!$E$6:$E$447,MATCH(A19,'Approximate heat gains'!$B$6:$B$447,0))/1000,""))</f>
        <v/>
      </c>
      <c r="H19" s="42" t="str">
        <f t="array" ref="H19">IF(COUNTA(I19:M19)&gt;0,"PROJECT INPUT replaces list values. Model/state: "&amp;K19&amp;" | Evidence: "&amp;L19&amp;" | Room and timing: "&amp;M19&amp;" | Confirm D only after checking both W figures, source applicability and duplicate components. This is user confirmation, not engineering approval.",IF(A19="","",IFERROR(INDEX('Approximate heat gains'!$F$6:$F$447,MATCH(A19,'Approximate heat gains'!$B$6:$B$447,0)),"Select an item from the list.")))</f>
        <v/>
      </c>
      <c r="I19" s="43"/>
      <c r="J19" s="43"/>
      <c r="K19" s="44"/>
      <c r="L19" s="44"/>
      <c r="M19" s="44"/>
    </row>
    <row r="20" ht="27.75" customHeight="1">
      <c r="A20" s="37"/>
      <c r="B20" s="38"/>
      <c r="C20" s="38"/>
      <c r="D20" s="39" t="b">
        <v>0</v>
      </c>
      <c r="E20" s="40" t="str">
        <f t="array" ref="E20">IF(A20="",IF(COUNTA(I20:M20)&gt;0,"MISSING — equipment name",""),IF(COUNTA(I20:M20)&gt;0,IF(OR(NOT(ISNUMBER(I20)),NOT(ISNUMBER(J20))),"MISSING — project W",IF(OR(I20&lt;0,J20&lt;0),"INVALID — project W",IF(OR(LEN(TRIM(K20))=0,LEN(TRIM(L20))=0,LEN(TRIM(M20))=0),"MISSING — project evidence",IF(OR(NOT(ISNUMBER(B20)),NOT(ISNUMBER(C20))),"MISSING — qty / time",IF(OR(B20&lt;=0,C20&lt;0,C20&gt;1),"INVALID — qty / time",IF(D20&lt;&gt;TRUE,"CONFIRM CONDITIONS",IF(COUNTIF($A$7:$A$26,A20)&gt;1,"CHECK DUPLICATE",IF(COUNTA(I20:M20)&gt;0,"PROJECT INPUT — CONFIRMED","CONDITIONAL ESTIMATE")))))))),IFERROR(IF(OR(NOT(ISNUMBER(INDEX('Approximate heat gains'!$D$6:$D$447,MATCH(A20,'Approximate heat gains'!$B$6:$B$447,0)))),NOT(ISNUMBER(INDEX('Approximate heat gains'!$E$6:$E$447,MATCH(A20,'Approximate heat gains'!$B$6:$B$447,0))))),"BLOCKED — source unresolved",IF(OR(NOT(ISNUMBER(B20)),NOT(ISNUMBER(C20))),"MISSING — qty / time",IF(OR(B20&lt;=0,C20&lt;0,C20&gt;1),"INVALID — qty / time",IF(D20&lt;&gt;TRUE,"CONFIRM CONDITIONS",IF(COUNTIF($A$7:$A$26,A20)&gt;1,"CHECK DUPLICATE",IF(COUNTA(I20:M20)&gt;0,"PROJECT INPUT — CONFIRMED","CONDITIONAL ESTIMATE")))))),"INVALID — equipment name")))</f>
        <v/>
      </c>
      <c r="F20" s="41" t="str">
        <f t="array" ref="F20">IF(E20="PROJECT INPUT — CONFIRMED",B20*C20*I20/1000,IF(E20="CONDITIONAL ESTIMATE",B20*C20*INDEX('Approximate heat gains'!$D$6:$D$447,MATCH(A20,'Approximate heat gains'!$B$6:$B$447,0))/1000,""))</f>
        <v/>
      </c>
      <c r="G20" s="41" t="str">
        <f t="array" ref="G20">IF(E20="PROJECT INPUT — CONFIRMED",B20*C20*J20/1000,IF(E20="CONDITIONAL ESTIMATE",B20*C20*INDEX('Approximate heat gains'!$E$6:$E$447,MATCH(A20,'Approximate heat gains'!$B$6:$B$447,0))/1000,""))</f>
        <v/>
      </c>
      <c r="H20" s="42" t="str">
        <f t="array" ref="H20">IF(COUNTA(I20:M20)&gt;0,"PROJECT INPUT replaces list values. Model/state: "&amp;K20&amp;" | Evidence: "&amp;L20&amp;" | Room and timing: "&amp;M20&amp;" | Confirm D only after checking both W figures, source applicability and duplicate components. This is user confirmation, not engineering approval.",IF(A20="","",IFERROR(INDEX('Approximate heat gains'!$F$6:$F$447,MATCH(A20,'Approximate heat gains'!$B$6:$B$447,0)),"Select an item from the list.")))</f>
        <v/>
      </c>
      <c r="I20" s="43"/>
      <c r="J20" s="43"/>
      <c r="K20" s="44"/>
      <c r="L20" s="44"/>
      <c r="M20" s="44"/>
    </row>
    <row r="21" ht="27.75" customHeight="1">
      <c r="A21" s="37"/>
      <c r="B21" s="38"/>
      <c r="C21" s="38"/>
      <c r="D21" s="39" t="b">
        <v>0</v>
      </c>
      <c r="E21" s="40" t="str">
        <f t="array" ref="E21">IF(A21="",IF(COUNTA(I21:M21)&gt;0,"MISSING — equipment name",""),IF(COUNTA(I21:M21)&gt;0,IF(OR(NOT(ISNUMBER(I21)),NOT(ISNUMBER(J21))),"MISSING — project W",IF(OR(I21&lt;0,J21&lt;0),"INVALID — project W",IF(OR(LEN(TRIM(K21))=0,LEN(TRIM(L21))=0,LEN(TRIM(M21))=0),"MISSING — project evidence",IF(OR(NOT(ISNUMBER(B21)),NOT(ISNUMBER(C21))),"MISSING — qty / time",IF(OR(B21&lt;=0,C21&lt;0,C21&gt;1),"INVALID — qty / time",IF(D21&lt;&gt;TRUE,"CONFIRM CONDITIONS",IF(COUNTIF($A$7:$A$26,A21)&gt;1,"CHECK DUPLICATE",IF(COUNTA(I21:M21)&gt;0,"PROJECT INPUT — CONFIRMED","CONDITIONAL ESTIMATE")))))))),IFERROR(IF(OR(NOT(ISNUMBER(INDEX('Approximate heat gains'!$D$6:$D$447,MATCH(A21,'Approximate heat gains'!$B$6:$B$447,0)))),NOT(ISNUMBER(INDEX('Approximate heat gains'!$E$6:$E$447,MATCH(A21,'Approximate heat gains'!$B$6:$B$447,0))))),"BLOCKED — source unresolved",IF(OR(NOT(ISNUMBER(B21)),NOT(ISNUMBER(C21))),"MISSING — qty / time",IF(OR(B21&lt;=0,C21&lt;0,C21&gt;1),"INVALID — qty / time",IF(D21&lt;&gt;TRUE,"CONFIRM CONDITIONS",IF(COUNTIF($A$7:$A$26,A21)&gt;1,"CHECK DUPLICATE",IF(COUNTA(I21:M21)&gt;0,"PROJECT INPUT — CONFIRMED","CONDITIONAL ESTIMATE")))))),"INVALID — equipment name")))</f>
        <v/>
      </c>
      <c r="F21" s="41" t="str">
        <f t="array" ref="F21">IF(E21="PROJECT INPUT — CONFIRMED",B21*C21*I21/1000,IF(E21="CONDITIONAL ESTIMATE",B21*C21*INDEX('Approximate heat gains'!$D$6:$D$447,MATCH(A21,'Approximate heat gains'!$B$6:$B$447,0))/1000,""))</f>
        <v/>
      </c>
      <c r="G21" s="41" t="str">
        <f t="array" ref="G21">IF(E21="PROJECT INPUT — CONFIRMED",B21*C21*J21/1000,IF(E21="CONDITIONAL ESTIMATE",B21*C21*INDEX('Approximate heat gains'!$E$6:$E$447,MATCH(A21,'Approximate heat gains'!$B$6:$B$447,0))/1000,""))</f>
        <v/>
      </c>
      <c r="H21" s="42" t="str">
        <f t="array" ref="H21">IF(COUNTA(I21:M21)&gt;0,"PROJECT INPUT replaces list values. Model/state: "&amp;K21&amp;" | Evidence: "&amp;L21&amp;" | Room and timing: "&amp;M21&amp;" | Confirm D only after checking both W figures, source applicability and duplicate components. This is user confirmation, not engineering approval.",IF(A21="","",IFERROR(INDEX('Approximate heat gains'!$F$6:$F$447,MATCH(A21,'Approximate heat gains'!$B$6:$B$447,0)),"Select an item from the list.")))</f>
        <v/>
      </c>
      <c r="I21" s="43"/>
      <c r="J21" s="43"/>
      <c r="K21" s="44"/>
      <c r="L21" s="44"/>
      <c r="M21" s="44"/>
    </row>
    <row r="22" ht="27.75" customHeight="1">
      <c r="A22" s="37"/>
      <c r="B22" s="38"/>
      <c r="C22" s="38"/>
      <c r="D22" s="39" t="b">
        <v>0</v>
      </c>
      <c r="E22" s="40" t="str">
        <f t="array" ref="E22">IF(A22="",IF(COUNTA(I22:M22)&gt;0,"MISSING — equipment name",""),IF(COUNTA(I22:M22)&gt;0,IF(OR(NOT(ISNUMBER(I22)),NOT(ISNUMBER(J22))),"MISSING — project W",IF(OR(I22&lt;0,J22&lt;0),"INVALID — project W",IF(OR(LEN(TRIM(K22))=0,LEN(TRIM(L22))=0,LEN(TRIM(M22))=0),"MISSING — project evidence",IF(OR(NOT(ISNUMBER(B22)),NOT(ISNUMBER(C22))),"MISSING — qty / time",IF(OR(B22&lt;=0,C22&lt;0,C22&gt;1),"INVALID — qty / time",IF(D22&lt;&gt;TRUE,"CONFIRM CONDITIONS",IF(COUNTIF($A$7:$A$26,A22)&gt;1,"CHECK DUPLICATE",IF(COUNTA(I22:M22)&gt;0,"PROJECT INPUT — CONFIRMED","CONDITIONAL ESTIMATE")))))))),IFERROR(IF(OR(NOT(ISNUMBER(INDEX('Approximate heat gains'!$D$6:$D$447,MATCH(A22,'Approximate heat gains'!$B$6:$B$447,0)))),NOT(ISNUMBER(INDEX('Approximate heat gains'!$E$6:$E$447,MATCH(A22,'Approximate heat gains'!$B$6:$B$447,0))))),"BLOCKED — source unresolved",IF(OR(NOT(ISNUMBER(B22)),NOT(ISNUMBER(C22))),"MISSING — qty / time",IF(OR(B22&lt;=0,C22&lt;0,C22&gt;1),"INVALID — qty / time",IF(D22&lt;&gt;TRUE,"CONFIRM CONDITIONS",IF(COUNTIF($A$7:$A$26,A22)&gt;1,"CHECK DUPLICATE",IF(COUNTA(I22:M22)&gt;0,"PROJECT INPUT — CONFIRMED","CONDITIONAL ESTIMATE")))))),"INVALID — equipment name")))</f>
        <v/>
      </c>
      <c r="F22" s="41" t="str">
        <f t="array" ref="F22">IF(E22="PROJECT INPUT — CONFIRMED",B22*C22*I22/1000,IF(E22="CONDITIONAL ESTIMATE",B22*C22*INDEX('Approximate heat gains'!$D$6:$D$447,MATCH(A22,'Approximate heat gains'!$B$6:$B$447,0))/1000,""))</f>
        <v/>
      </c>
      <c r="G22" s="41" t="str">
        <f t="array" ref="G22">IF(E22="PROJECT INPUT — CONFIRMED",B22*C22*J22/1000,IF(E22="CONDITIONAL ESTIMATE",B22*C22*INDEX('Approximate heat gains'!$E$6:$E$447,MATCH(A22,'Approximate heat gains'!$B$6:$B$447,0))/1000,""))</f>
        <v/>
      </c>
      <c r="H22" s="42" t="str">
        <f t="array" ref="H22">IF(COUNTA(I22:M22)&gt;0,"PROJECT INPUT replaces list values. Model/state: "&amp;K22&amp;" | Evidence: "&amp;L22&amp;" | Room and timing: "&amp;M22&amp;" | Confirm D only after checking both W figures, source applicability and duplicate components. This is user confirmation, not engineering approval.",IF(A22="","",IFERROR(INDEX('Approximate heat gains'!$F$6:$F$447,MATCH(A22,'Approximate heat gains'!$B$6:$B$447,0)),"Select an item from the list.")))</f>
        <v/>
      </c>
      <c r="I22" s="43"/>
      <c r="J22" s="43"/>
      <c r="K22" s="44"/>
      <c r="L22" s="44"/>
      <c r="M22" s="44"/>
    </row>
    <row r="23" ht="27.75" customHeight="1">
      <c r="A23" s="37"/>
      <c r="B23" s="38"/>
      <c r="C23" s="38"/>
      <c r="D23" s="39" t="b">
        <v>0</v>
      </c>
      <c r="E23" s="40" t="str">
        <f t="array" ref="E23">IF(A23="",IF(COUNTA(I23:M23)&gt;0,"MISSING — equipment name",""),IF(COUNTA(I23:M23)&gt;0,IF(OR(NOT(ISNUMBER(I23)),NOT(ISNUMBER(J23))),"MISSING — project W",IF(OR(I23&lt;0,J23&lt;0),"INVALID — project W",IF(OR(LEN(TRIM(K23))=0,LEN(TRIM(L23))=0,LEN(TRIM(M23))=0),"MISSING — project evidence",IF(OR(NOT(ISNUMBER(B23)),NOT(ISNUMBER(C23))),"MISSING — qty / time",IF(OR(B23&lt;=0,C23&lt;0,C23&gt;1),"INVALID — qty / time",IF(D23&lt;&gt;TRUE,"CONFIRM CONDITIONS",IF(COUNTIF($A$7:$A$26,A23)&gt;1,"CHECK DUPLICATE",IF(COUNTA(I23:M23)&gt;0,"PROJECT INPUT — CONFIRMED","CONDITIONAL ESTIMATE")))))))),IFERROR(IF(OR(NOT(ISNUMBER(INDEX('Approximate heat gains'!$D$6:$D$447,MATCH(A23,'Approximate heat gains'!$B$6:$B$447,0)))),NOT(ISNUMBER(INDEX('Approximate heat gains'!$E$6:$E$447,MATCH(A23,'Approximate heat gains'!$B$6:$B$447,0))))),"BLOCKED — source unresolved",IF(OR(NOT(ISNUMBER(B23)),NOT(ISNUMBER(C23))),"MISSING — qty / time",IF(OR(B23&lt;=0,C23&lt;0,C23&gt;1),"INVALID — qty / time",IF(D23&lt;&gt;TRUE,"CONFIRM CONDITIONS",IF(COUNTIF($A$7:$A$26,A23)&gt;1,"CHECK DUPLICATE",IF(COUNTA(I23:M23)&gt;0,"PROJECT INPUT — CONFIRMED","CONDITIONAL ESTIMATE")))))),"INVALID — equipment name")))</f>
        <v/>
      </c>
      <c r="F23" s="41" t="str">
        <f t="array" ref="F23">IF(E23="PROJECT INPUT — CONFIRMED",B23*C23*I23/1000,IF(E23="CONDITIONAL ESTIMATE",B23*C23*INDEX('Approximate heat gains'!$D$6:$D$447,MATCH(A23,'Approximate heat gains'!$B$6:$B$447,0))/1000,""))</f>
        <v/>
      </c>
      <c r="G23" s="41" t="str">
        <f t="array" ref="G23">IF(E23="PROJECT INPUT — CONFIRMED",B23*C23*J23/1000,IF(E23="CONDITIONAL ESTIMATE",B23*C23*INDEX('Approximate heat gains'!$E$6:$E$447,MATCH(A23,'Approximate heat gains'!$B$6:$B$447,0))/1000,""))</f>
        <v/>
      </c>
      <c r="H23" s="42" t="str">
        <f t="array" ref="H23">IF(COUNTA(I23:M23)&gt;0,"PROJECT INPUT replaces list values. Model/state: "&amp;K23&amp;" | Evidence: "&amp;L23&amp;" | Room and timing: "&amp;M23&amp;" | Confirm D only after checking both W figures, source applicability and duplicate components. This is user confirmation, not engineering approval.",IF(A23="","",IFERROR(INDEX('Approximate heat gains'!$F$6:$F$447,MATCH(A23,'Approximate heat gains'!$B$6:$B$447,0)),"Select an item from the list.")))</f>
        <v/>
      </c>
      <c r="I23" s="43"/>
      <c r="J23" s="43"/>
      <c r="K23" s="44"/>
      <c r="L23" s="44"/>
      <c r="M23" s="44"/>
    </row>
    <row r="24" ht="27.75" customHeight="1">
      <c r="A24" s="37"/>
      <c r="B24" s="38"/>
      <c r="C24" s="38"/>
      <c r="D24" s="39" t="b">
        <v>0</v>
      </c>
      <c r="E24" s="40" t="str">
        <f t="array" ref="E24">IF(A24="",IF(COUNTA(I24:M24)&gt;0,"MISSING — equipment name",""),IF(COUNTA(I24:M24)&gt;0,IF(OR(NOT(ISNUMBER(I24)),NOT(ISNUMBER(J24))),"MISSING — project W",IF(OR(I24&lt;0,J24&lt;0),"INVALID — project W",IF(OR(LEN(TRIM(K24))=0,LEN(TRIM(L24))=0,LEN(TRIM(M24))=0),"MISSING — project evidence",IF(OR(NOT(ISNUMBER(B24)),NOT(ISNUMBER(C24))),"MISSING — qty / time",IF(OR(B24&lt;=0,C24&lt;0,C24&gt;1),"INVALID — qty / time",IF(D24&lt;&gt;TRUE,"CONFIRM CONDITIONS",IF(COUNTIF($A$7:$A$26,A24)&gt;1,"CHECK DUPLICATE",IF(COUNTA(I24:M24)&gt;0,"PROJECT INPUT — CONFIRMED","CONDITIONAL ESTIMATE")))))))),IFERROR(IF(OR(NOT(ISNUMBER(INDEX('Approximate heat gains'!$D$6:$D$447,MATCH(A24,'Approximate heat gains'!$B$6:$B$447,0)))),NOT(ISNUMBER(INDEX('Approximate heat gains'!$E$6:$E$447,MATCH(A24,'Approximate heat gains'!$B$6:$B$447,0))))),"BLOCKED — source unresolved",IF(OR(NOT(ISNUMBER(B24)),NOT(ISNUMBER(C24))),"MISSING — qty / time",IF(OR(B24&lt;=0,C24&lt;0,C24&gt;1),"INVALID — qty / time",IF(D24&lt;&gt;TRUE,"CONFIRM CONDITIONS",IF(COUNTIF($A$7:$A$26,A24)&gt;1,"CHECK DUPLICATE",IF(COUNTA(I24:M24)&gt;0,"PROJECT INPUT — CONFIRMED","CONDITIONAL ESTIMATE")))))),"INVALID — equipment name")))</f>
        <v/>
      </c>
      <c r="F24" s="41" t="str">
        <f t="array" ref="F24">IF(E24="PROJECT INPUT — CONFIRMED",B24*C24*I24/1000,IF(E24="CONDITIONAL ESTIMATE",B24*C24*INDEX('Approximate heat gains'!$D$6:$D$447,MATCH(A24,'Approximate heat gains'!$B$6:$B$447,0))/1000,""))</f>
        <v/>
      </c>
      <c r="G24" s="41" t="str">
        <f t="array" ref="G24">IF(E24="PROJECT INPUT — CONFIRMED",B24*C24*J24/1000,IF(E24="CONDITIONAL ESTIMATE",B24*C24*INDEX('Approximate heat gains'!$E$6:$E$447,MATCH(A24,'Approximate heat gains'!$B$6:$B$447,0))/1000,""))</f>
        <v/>
      </c>
      <c r="H24" s="42" t="str">
        <f t="array" ref="H24">IF(COUNTA(I24:M24)&gt;0,"PROJECT INPUT replaces list values. Model/state: "&amp;K24&amp;" | Evidence: "&amp;L24&amp;" | Room and timing: "&amp;M24&amp;" | Confirm D only after checking both W figures, source applicability and duplicate components. This is user confirmation, not engineering approval.",IF(A24="","",IFERROR(INDEX('Approximate heat gains'!$F$6:$F$447,MATCH(A24,'Approximate heat gains'!$B$6:$B$447,0)),"Select an item from the list.")))</f>
        <v/>
      </c>
      <c r="I24" s="43"/>
      <c r="J24" s="43"/>
      <c r="K24" s="44"/>
      <c r="L24" s="44"/>
      <c r="M24" s="44"/>
    </row>
    <row r="25" ht="27.75" customHeight="1">
      <c r="A25" s="37"/>
      <c r="B25" s="38"/>
      <c r="C25" s="38"/>
      <c r="D25" s="39" t="b">
        <v>0</v>
      </c>
      <c r="E25" s="40" t="str">
        <f t="array" ref="E25">IF(A25="",IF(COUNTA(I25:M25)&gt;0,"MISSING — equipment name",""),IF(COUNTA(I25:M25)&gt;0,IF(OR(NOT(ISNUMBER(I25)),NOT(ISNUMBER(J25))),"MISSING — project W",IF(OR(I25&lt;0,J25&lt;0),"INVALID — project W",IF(OR(LEN(TRIM(K25))=0,LEN(TRIM(L25))=0,LEN(TRIM(M25))=0),"MISSING — project evidence",IF(OR(NOT(ISNUMBER(B25)),NOT(ISNUMBER(C25))),"MISSING — qty / time",IF(OR(B25&lt;=0,C25&lt;0,C25&gt;1),"INVALID — qty / time",IF(D25&lt;&gt;TRUE,"CONFIRM CONDITIONS",IF(COUNTIF($A$7:$A$26,A25)&gt;1,"CHECK DUPLICATE",IF(COUNTA(I25:M25)&gt;0,"PROJECT INPUT — CONFIRMED","CONDITIONAL ESTIMATE")))))))),IFERROR(IF(OR(NOT(ISNUMBER(INDEX('Approximate heat gains'!$D$6:$D$447,MATCH(A25,'Approximate heat gains'!$B$6:$B$447,0)))),NOT(ISNUMBER(INDEX('Approximate heat gains'!$E$6:$E$447,MATCH(A25,'Approximate heat gains'!$B$6:$B$447,0))))),"BLOCKED — source unresolved",IF(OR(NOT(ISNUMBER(B25)),NOT(ISNUMBER(C25))),"MISSING — qty / time",IF(OR(B25&lt;=0,C25&lt;0,C25&gt;1),"INVALID — qty / time",IF(D25&lt;&gt;TRUE,"CONFIRM CONDITIONS",IF(COUNTIF($A$7:$A$26,A25)&gt;1,"CHECK DUPLICATE",IF(COUNTA(I25:M25)&gt;0,"PROJECT INPUT — CONFIRMED","CONDITIONAL ESTIMATE")))))),"INVALID — equipment name")))</f>
        <v/>
      </c>
      <c r="F25" s="41" t="str">
        <f t="array" ref="F25">IF(E25="PROJECT INPUT — CONFIRMED",B25*C25*I25/1000,IF(E25="CONDITIONAL ESTIMATE",B25*C25*INDEX('Approximate heat gains'!$D$6:$D$447,MATCH(A25,'Approximate heat gains'!$B$6:$B$447,0))/1000,""))</f>
        <v/>
      </c>
      <c r="G25" s="41" t="str">
        <f t="array" ref="G25">IF(E25="PROJECT INPUT — CONFIRMED",B25*C25*J25/1000,IF(E25="CONDITIONAL ESTIMATE",B25*C25*INDEX('Approximate heat gains'!$E$6:$E$447,MATCH(A25,'Approximate heat gains'!$B$6:$B$447,0))/1000,""))</f>
        <v/>
      </c>
      <c r="H25" s="42" t="str">
        <f t="array" ref="H25">IF(COUNTA(I25:M25)&gt;0,"PROJECT INPUT replaces list values. Model/state: "&amp;K25&amp;" | Evidence: "&amp;L25&amp;" | Room and timing: "&amp;M25&amp;" | Confirm D only after checking both W figures, source applicability and duplicate components. This is user confirmation, not engineering approval.",IF(A25="","",IFERROR(INDEX('Approximate heat gains'!$F$6:$F$447,MATCH(A25,'Approximate heat gains'!$B$6:$B$447,0)),"Select an item from the list.")))</f>
        <v/>
      </c>
      <c r="I25" s="43"/>
      <c r="J25" s="43"/>
      <c r="K25" s="44"/>
      <c r="L25" s="44"/>
      <c r="M25" s="44"/>
    </row>
    <row r="26" ht="27.75" customHeight="1">
      <c r="A26" s="37"/>
      <c r="B26" s="38"/>
      <c r="C26" s="38"/>
      <c r="D26" s="39" t="b">
        <v>0</v>
      </c>
      <c r="E26" s="40" t="str">
        <f t="array" ref="E26">IF(A26="",IF(COUNTA(I26:M26)&gt;0,"MISSING — equipment name",""),IF(COUNTA(I26:M26)&gt;0,IF(OR(NOT(ISNUMBER(I26)),NOT(ISNUMBER(J26))),"MISSING — project W",IF(OR(I26&lt;0,J26&lt;0),"INVALID — project W",IF(OR(LEN(TRIM(K26))=0,LEN(TRIM(L26))=0,LEN(TRIM(M26))=0),"MISSING — project evidence",IF(OR(NOT(ISNUMBER(B26)),NOT(ISNUMBER(C26))),"MISSING — qty / time",IF(OR(B26&lt;=0,C26&lt;0,C26&gt;1),"INVALID — qty / time",IF(D26&lt;&gt;TRUE,"CONFIRM CONDITIONS",IF(COUNTIF($A$7:$A$26,A26)&gt;1,"CHECK DUPLICATE",IF(COUNTA(I26:M26)&gt;0,"PROJECT INPUT — CONFIRMED","CONDITIONAL ESTIMATE")))))))),IFERROR(IF(OR(NOT(ISNUMBER(INDEX('Approximate heat gains'!$D$6:$D$447,MATCH(A26,'Approximate heat gains'!$B$6:$B$447,0)))),NOT(ISNUMBER(INDEX('Approximate heat gains'!$E$6:$E$447,MATCH(A26,'Approximate heat gains'!$B$6:$B$447,0))))),"BLOCKED — source unresolved",IF(OR(NOT(ISNUMBER(B26)),NOT(ISNUMBER(C26))),"MISSING — qty / time",IF(OR(B26&lt;=0,C26&lt;0,C26&gt;1),"INVALID — qty / time",IF(D26&lt;&gt;TRUE,"CONFIRM CONDITIONS",IF(COUNTIF($A$7:$A$26,A26)&gt;1,"CHECK DUPLICATE",IF(COUNTA(I26:M26)&gt;0,"PROJECT INPUT — CONFIRMED","CONDITIONAL ESTIMATE")))))),"INVALID — equipment name")))</f>
        <v/>
      </c>
      <c r="F26" s="41" t="str">
        <f t="array" ref="F26">IF(E26="PROJECT INPUT — CONFIRMED",B26*C26*I26/1000,IF(E26="CONDITIONAL ESTIMATE",B26*C26*INDEX('Approximate heat gains'!$D$6:$D$447,MATCH(A26,'Approximate heat gains'!$B$6:$B$447,0))/1000,""))</f>
        <v/>
      </c>
      <c r="G26" s="41" t="str">
        <f t="array" ref="G26">IF(E26="PROJECT INPUT — CONFIRMED",B26*C26*J26/1000,IF(E26="CONDITIONAL ESTIMATE",B26*C26*INDEX('Approximate heat gains'!$E$6:$E$447,MATCH(A26,'Approximate heat gains'!$B$6:$B$447,0))/1000,""))</f>
        <v/>
      </c>
      <c r="H26" s="42" t="str">
        <f t="array" ref="H26">IF(COUNTA(I26:M26)&gt;0,"PROJECT INPUT replaces list values. Model/state: "&amp;K26&amp;" | Evidence: "&amp;L26&amp;" | Room and timing: "&amp;M26&amp;" | Confirm D only after checking both W figures, source applicability and duplicate components. This is user confirmation, not engineering approval.",IF(A26="","",IFERROR(INDEX('Approximate heat gains'!$F$6:$F$447,MATCH(A26,'Approximate heat gains'!$B$6:$B$447,0)),"Select an item from the list.")))</f>
        <v/>
      </c>
      <c r="I26" s="43"/>
      <c r="J26" s="43"/>
      <c r="K26" s="44"/>
      <c r="L26" s="44"/>
      <c r="M26" s="44"/>
    </row>
    <row r="27" ht="27.75" customHeight="1">
      <c r="A27" s="42"/>
      <c r="B27" s="42"/>
      <c r="C27" s="42"/>
      <c r="D27" s="42"/>
      <c r="E27" s="42"/>
      <c r="F27" s="41"/>
      <c r="G27" s="41"/>
      <c r="H27" s="42"/>
      <c r="I27" s="21"/>
      <c r="J27" s="21"/>
      <c r="K27" s="21"/>
      <c r="L27" s="21"/>
    </row>
    <row r="28" ht="27.75" customHeight="1">
      <c r="A28" s="42"/>
      <c r="B28" s="42"/>
      <c r="C28" s="42"/>
      <c r="D28" s="42"/>
      <c r="E28" s="42"/>
      <c r="F28" s="41"/>
      <c r="G28" s="41"/>
      <c r="H28" s="42"/>
      <c r="I28" s="21"/>
      <c r="J28" s="21"/>
      <c r="K28" s="21"/>
      <c r="L28" s="21"/>
    </row>
    <row r="29" ht="27.75" customHeight="1">
      <c r="A29" s="45" t="s">
        <v>3252</v>
      </c>
      <c r="B29" s="42"/>
      <c r="C29" s="42"/>
      <c r="D29" s="42"/>
      <c r="E29" s="42" t="str">
        <f>IF(SUMPRODUCT(--(LEN(E7:E26)&gt;0))=0,"NO SELECTION",IF(COUNTIF(E7:E26,"CONDITIONAL ESTIMATE")+COUNTIF(E7:E26,"PROJECT INPUT — CONFIRMED")&lt;&gt;SUMPRODUCT(--(LEN(E7:E26)&gt;0)),"BLOCKED — resolve selected rows","CONDITIONAL EQUIPMENT TOTAL"))</f>
        <v>NO SELECTION</v>
      </c>
      <c r="F29" s="46" t="str">
        <f>IF(E29="CONDITIONAL EQUIPMENT TOTAL",SUM(F7:F26),"")</f>
        <v/>
      </c>
      <c r="G29" s="46" t="str">
        <f>IF(E29="CONDITIONAL EQUIPMENT TOTAL",SUM(G7:G26),"")</f>
        <v/>
      </c>
      <c r="H29" s="45" t="s">
        <v>3253</v>
      </c>
      <c r="I29" s="21"/>
      <c r="J29" s="21"/>
      <c r="K29" s="21"/>
      <c r="L29" s="21"/>
    </row>
    <row r="30" ht="27.75" customHeight="1">
      <c r="A30" s="21"/>
      <c r="B30" s="21"/>
      <c r="C30" s="21"/>
      <c r="D30" s="21"/>
      <c r="E30" s="21"/>
      <c r="F30" s="21"/>
      <c r="G30" s="21"/>
      <c r="H30" s="21"/>
      <c r="I30" s="21"/>
      <c r="J30" s="21"/>
      <c r="K30" s="21"/>
      <c r="L30" s="21"/>
    </row>
    <row r="31" ht="27.75" customHeight="1">
      <c r="A31" s="21"/>
      <c r="B31" s="21"/>
      <c r="C31" s="21"/>
      <c r="D31" s="21"/>
      <c r="E31" s="21"/>
      <c r="F31" s="21"/>
      <c r="G31" s="21"/>
      <c r="H31" s="21"/>
      <c r="I31" s="21"/>
      <c r="J31" s="21"/>
      <c r="K31" s="21"/>
      <c r="L31" s="21"/>
    </row>
    <row r="32" ht="27.75" customHeight="1">
      <c r="A32" s="24" t="s">
        <v>3254</v>
      </c>
      <c r="B32" s="21"/>
      <c r="C32" s="21"/>
      <c r="D32" s="21"/>
      <c r="E32" s="21"/>
      <c r="F32" s="21"/>
      <c r="G32" s="21"/>
      <c r="H32" s="21"/>
      <c r="I32" s="21"/>
      <c r="J32" s="21"/>
      <c r="K32" s="21"/>
      <c r="L32" s="21"/>
    </row>
    <row r="33" ht="27.75" customHeight="1">
      <c r="A33" s="21"/>
      <c r="B33" s="21"/>
      <c r="C33" s="21"/>
      <c r="D33" s="21"/>
      <c r="E33" s="21"/>
      <c r="F33" s="21"/>
      <c r="G33" s="21"/>
      <c r="H33" s="21"/>
      <c r="I33" s="21"/>
      <c r="J33" s="21"/>
      <c r="K33" s="21"/>
      <c r="L33" s="21"/>
    </row>
    <row r="34" ht="27.75" customHeight="1">
      <c r="A34" s="24" t="s">
        <v>3255</v>
      </c>
      <c r="B34" s="21"/>
      <c r="C34" s="21"/>
      <c r="D34" s="21"/>
      <c r="E34" s="21"/>
      <c r="F34" s="21"/>
      <c r="G34" s="21"/>
      <c r="H34" s="21"/>
      <c r="I34" s="21"/>
      <c r="J34" s="21"/>
      <c r="K34" s="21"/>
      <c r="L34" s="21"/>
    </row>
    <row r="35" ht="40.5" customHeight="1">
      <c r="A35" s="35" t="s">
        <v>3256</v>
      </c>
      <c r="I35" s="21"/>
      <c r="J35" s="21"/>
      <c r="K35" s="21"/>
      <c r="L35" s="21"/>
    </row>
    <row r="36" ht="27.75" customHeight="1">
      <c r="A36" s="21" t="s">
        <v>3257</v>
      </c>
      <c r="B36" s="21"/>
      <c r="C36" s="21"/>
      <c r="D36" s="21"/>
      <c r="E36" s="21"/>
      <c r="F36" s="21"/>
      <c r="G36" s="21"/>
      <c r="H36" s="21"/>
      <c r="I36" s="21"/>
      <c r="J36" s="21"/>
      <c r="K36" s="21"/>
      <c r="L36" s="21"/>
    </row>
    <row r="37" ht="27.75" customHeight="1">
      <c r="A37" s="21"/>
      <c r="B37" s="21"/>
      <c r="C37" s="21"/>
      <c r="D37" s="21"/>
      <c r="E37" s="21"/>
      <c r="F37" s="21"/>
      <c r="G37" s="21"/>
      <c r="H37" s="21"/>
      <c r="I37" s="21"/>
      <c r="J37" s="21"/>
      <c r="K37" s="21"/>
      <c r="L37" s="21"/>
    </row>
    <row r="38" ht="27.75" customHeight="1">
      <c r="A38" s="21" t="s">
        <v>3258</v>
      </c>
      <c r="B38" s="21" t="s">
        <v>40</v>
      </c>
      <c r="C38" s="21"/>
      <c r="D38" s="21"/>
      <c r="E38" s="21"/>
      <c r="F38" s="21"/>
      <c r="G38" s="21"/>
      <c r="H38" s="21"/>
      <c r="I38" s="21"/>
      <c r="J38" s="21"/>
      <c r="K38" s="21"/>
      <c r="L38" s="21"/>
    </row>
    <row r="39" ht="27.75" customHeight="1">
      <c r="A39" s="21" t="s">
        <v>3259</v>
      </c>
      <c r="B39" s="21" t="s">
        <v>111</v>
      </c>
      <c r="C39" s="21"/>
      <c r="D39" s="21"/>
      <c r="E39" s="21"/>
      <c r="F39" s="21"/>
      <c r="G39" s="21"/>
      <c r="H39" s="21"/>
      <c r="I39" s="21"/>
      <c r="J39" s="21"/>
      <c r="K39" s="21"/>
      <c r="L39" s="21"/>
    </row>
    <row r="40" ht="27.75" customHeight="1">
      <c r="A40" s="21" t="s">
        <v>3260</v>
      </c>
      <c r="B40" s="21" t="s">
        <v>509</v>
      </c>
      <c r="C40" s="21"/>
      <c r="D40" s="21"/>
      <c r="E40" s="21"/>
      <c r="F40" s="21"/>
      <c r="G40" s="21"/>
      <c r="H40" s="21"/>
      <c r="I40" s="21"/>
      <c r="J40" s="21"/>
      <c r="K40" s="21"/>
      <c r="L40" s="21"/>
    </row>
    <row r="41" ht="27.75" customHeight="1">
      <c r="A41" s="21"/>
      <c r="B41" s="21"/>
      <c r="C41" s="21"/>
      <c r="D41" s="21"/>
      <c r="E41" s="21"/>
      <c r="F41" s="21"/>
      <c r="G41" s="21"/>
      <c r="H41" s="21"/>
      <c r="I41" s="21"/>
      <c r="J41" s="21"/>
      <c r="K41" s="21"/>
      <c r="L41" s="21"/>
    </row>
    <row r="42" ht="27.75" customHeight="1">
      <c r="A42" s="21"/>
      <c r="B42" s="21"/>
      <c r="C42" s="21"/>
      <c r="D42" s="21"/>
      <c r="E42" s="21"/>
      <c r="F42" s="21"/>
      <c r="G42" s="21"/>
      <c r="H42" s="21"/>
      <c r="I42" s="21"/>
      <c r="J42" s="21"/>
      <c r="K42" s="21"/>
      <c r="L42" s="2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H2"/>
    <mergeCell ref="A3:H3"/>
    <mergeCell ref="A4:H4"/>
    <mergeCell ref="I5:M5"/>
    <mergeCell ref="A35:H35"/>
  </mergeCells>
  <conditionalFormatting sqref="E7:E29">
    <cfRule type="expression" dxfId="0" priority="1" stopIfTrue="1">
      <formula>AND($E7&lt;&gt;"",$E7&lt;&gt;"CONDITIONAL ESTIMATE")</formula>
    </cfRule>
  </conditionalFormatting>
  <dataValidations>
    <dataValidation type="list" allowBlank="1" showErrorMessage="1" sqref="A7:A26">
      <formula1>'Approximate heat gains'!$B$6:$B$447</formula1>
    </dataValidation>
    <dataValidation type="decimal" allowBlank="1" showDropDown="1" showInputMessage="1" showErrorMessage="1" prompt="Use 1 if the reference already averages this design hour; do not diversify twice." sqref="C7:C26">
      <formula1>0.0</formula1>
      <formula2>1.0</formula2>
    </dataValidation>
    <dataValidation type="decimal" operator="greaterThanOrEqual" allowBlank="1" showDropDown="1" showInputMessage="1" showErrorMessage="1" prompt="Enter supported room heat in W per unit; blank means unknown. Zero must be justified." sqref="I7:J26">
      <formula1>0.0</formula1>
    </dataValidation>
    <dataValidation type="decimal" operator="greaterThan" allowBlank="1" showDropDown="1" showInputMessage="1" showErrorMessage="1" prompt="Number of items, pairs, metres or other units specified by the reference." sqref="B7:B26">
      <formula1>0.0</formula1>
    </dataValidation>
  </dataValidations>
  <printOptions/>
  <pageMargins bottom="0.75" footer="0.0" header="0.0" left="0.7" right="0.7" top="0.75"/>
  <pageSetup orientation="landscape"/>
  <drawing r:id="rId1"/>
</worksheet>
</file>