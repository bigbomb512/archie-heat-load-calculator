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ical values" sheetId="1" state="visible" r:id="rId1"/>
    <sheet name="Use 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3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2" customWidth="1" min="12" max="12"/>
    <col width="22" customWidth="1" min="13" max="13"/>
    <col width="40" customWidth="1" min="14" max="14"/>
    <col width="14" customWidth="1" min="15" max="15"/>
    <col width="12" customWidth="1" min="16" max="16"/>
    <col width="30" customWidth="1" min="17" max="17"/>
  </cols>
  <sheetData>
    <row r="1">
      <c r="A1" t="inlineStr">
        <is>
          <t>Typical heat per unit for each equipment type and size. Fill the four W columns (blank = not filled yet; 0 is a real zero) and the Source (https link). Under-hood columns are for cooking only; leave them blank elsewhere. Keep Typical IDs unchanged; add new rows with the next unused ID.</t>
        </is>
      </c>
    </row>
    <row r="3" ht="72" customHeight="1">
      <c r="A3" s="3" t="inlineStr">
        <is>
          <t>Typical ID</t>
        </is>
      </c>
      <c r="B3" s="3" t="inlineStr">
        <is>
          <t>Equipment type</t>
        </is>
      </c>
      <c r="C3" s="3" t="inlineStr">
        <is>
          <t>Size band</t>
        </is>
      </c>
      <c r="D3" s="3" t="inlineStr">
        <is>
          <t>How to tell the size from the drawings</t>
        </is>
      </c>
      <c r="E3" s="3" t="inlineStr">
        <is>
          <t>Matching aliases (semicolon separated)</t>
        </is>
      </c>
      <c r="F3" s="3" t="inlineStr">
        <is>
          <t>Generic fallback for type</t>
        </is>
      </c>
      <c r="G3" s="3" t="inlineStr">
        <is>
          <t>Sensible W per unit (free-standing)</t>
        </is>
      </c>
      <c r="H3" s="3" t="inlineStr">
        <is>
          <t>Latent W per unit (free-standing)</t>
        </is>
      </c>
      <c r="I3" s="3" t="inlineStr">
        <is>
          <t>Sensible W per unit (under a hood)</t>
        </is>
      </c>
      <c r="J3" s="3" t="inlineStr">
        <is>
          <t>Latent W per unit (under a hood)</t>
        </is>
      </c>
      <c r="K3" s="3" t="inlineStr">
        <is>
          <t>Use pattern</t>
        </is>
      </c>
      <c r="L3" s="3" t="inlineStr">
        <is>
          <t>Heat rejection location</t>
        </is>
      </c>
      <c r="M3" s="3" t="inlineStr">
        <is>
          <t>Based on (catalogue IDs)</t>
        </is>
      </c>
      <c r="N3" s="3" t="inlineStr">
        <is>
          <t>Source</t>
        </is>
      </c>
      <c r="O3" s="3" t="inlineStr">
        <is>
          <t>Reviewed by</t>
        </is>
      </c>
      <c r="P3" s="3" t="inlineStr">
        <is>
          <t>Reviewed on</t>
        </is>
      </c>
      <c r="Q3" s="3" t="inlineStr">
        <is>
          <t>Notes</t>
        </is>
      </c>
    </row>
    <row r="4" ht="261" customHeight="1">
      <c r="A4" s="4" t="inlineStr">
        <is>
          <t>TV-0001</t>
        </is>
      </c>
      <c r="B4" s="4" t="inlineStr">
        <is>
          <t>Under-bench fridge</t>
        </is>
      </c>
      <c r="C4" s="4" t="inlineStr">
        <is>
          <t>1-door</t>
        </is>
      </c>
      <c r="D4" s="4" t="inlineStr">
        <is>
          <t>Up to about 0.9 m wide, or labelled 1DR</t>
        </is>
      </c>
      <c r="E4" s="4" t="inlineStr">
        <is>
          <t>UB fridge;UBR;under bench fridge;under counter fridge;underbench refrigerator;UBR 1DR;underbench fridges;under-bench fridges</t>
        </is>
      </c>
      <c r="F4" s="4" t="inlineStr"/>
      <c r="G4" s="7" t="n">
        <v>40.833</v>
      </c>
      <c r="H4" s="7" t="n">
        <v>0</v>
      </c>
      <c r="I4" s="7" t="n"/>
      <c r="J4" s="7" t="n"/>
      <c r="K4" s="4" t="inlineStr">
        <is>
          <t>CONTINUOUS</t>
        </is>
      </c>
      <c r="L4" s="4" t="inlineStr">
        <is>
          <t>Integral air-cooled refrigeration in this room; net 24-h heat</t>
        </is>
      </c>
      <c r="M4" s="4" t="n"/>
      <c r="N4" s="4" t="inlineStr">
        <is>
          <t>https://www.bromicrefrigeration.com.au/wp-content/uploads/2023/08/UBC0140SD-NR_SPEC_0723.pdf</t>
        </is>
      </c>
      <c r="O4" s="4" t="inlineStr">
        <is>
          <t>Codex (needs partner review)</t>
        </is>
      </c>
      <c r="P4" s="8" t="n">
        <v>46315</v>
      </c>
      <c r="Q4" s="4" t="inlineStr">
        <is>
          <t xml:space="preserve">Bromic UBC0140SD-NR (138 L, 1 door); manufacturer's Specifications, Energy Consumption (kWh/24h): 0.98. Median of 1 example(s): 40.83–40.83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</t>
        </is>
      </c>
    </row>
    <row r="5" ht="321" customHeight="1">
      <c r="A5" s="4" t="inlineStr">
        <is>
          <t>TV-0002</t>
        </is>
      </c>
      <c r="B5" s="4" t="inlineStr">
        <is>
          <t>Under-bench fridge</t>
        </is>
      </c>
      <c r="C5" s="4" t="inlineStr">
        <is>
          <t>2-door</t>
        </is>
      </c>
      <c r="D5" s="4" t="inlineStr">
        <is>
          <t>About 0.9–1.5 m wide, or labelled 2DR</t>
        </is>
      </c>
      <c r="E5" s="4" t="inlineStr">
        <is>
          <t>UB fridge 2 door;UBR 2DR;2 door underbench fridge;2DR;2DR UBR;2 door underbench refrigerator</t>
        </is>
      </c>
      <c r="F5" s="4" t="inlineStr"/>
      <c r="G5" s="7" t="n">
        <v>138.833</v>
      </c>
      <c r="H5" s="7" t="n">
        <v>0</v>
      </c>
      <c r="I5" s="7" t="n"/>
      <c r="J5" s="7" t="n"/>
      <c r="K5" s="4" t="inlineStr">
        <is>
          <t>CONTINUOUS</t>
        </is>
      </c>
      <c r="L5" s="4" t="inlineStr">
        <is>
          <t>Integral air-cooled refrigeration in this room; net 24-h heat</t>
        </is>
      </c>
      <c r="M5" s="4" t="n"/>
      <c r="N5" s="4" t="inlineStr">
        <is>
          <t>https://www.bromicrefrigeration.com.au/product/under-bench-fridge-282l-2-doors-stainless-steel/</t>
        </is>
      </c>
      <c r="O5" s="4" t="inlineStr">
        <is>
          <t>Codex (needs partner review)</t>
        </is>
      </c>
      <c r="P5" s="8" t="n">
        <v>46315</v>
      </c>
      <c r="Q5" s="4" t="inlineStr">
        <is>
          <t>Bromic UBC1360SD-NR / UBC1360GD-NR (282 L, 2 doors); manufacturer's Specifications, Energy Consumption (kWh/24h): 3.024, 3.64. Median of 2 example(s): 126.00–151.67 W; kWh/day ×1000/24. Net room heat equals average electrical consumption for integral same-room refrigeration; NOT condenser gross rejection, cooling capacity or nameplate input. Latent 0: no uncaptured evaporative source. 24-h average, not a compressor peak. One-brand sample; not market validation.  Other sources: https://www.bromicrefrigeration.com.au/wp-content/uploads/2023/08/UBC1360GD-NR_SPEC_0723.pdf</t>
        </is>
      </c>
    </row>
    <row r="6" ht="261" customHeight="1">
      <c r="A6" s="4" t="inlineStr">
        <is>
          <t>TV-0003</t>
        </is>
      </c>
      <c r="B6" s="4" t="inlineStr">
        <is>
          <t>Under-bench fridge</t>
        </is>
      </c>
      <c r="C6" s="4" t="inlineStr">
        <is>
          <t>3-door</t>
        </is>
      </c>
      <c r="D6" s="4" t="inlineStr">
        <is>
          <t>Over about 1.5 m wide, or labelled 3DR</t>
        </is>
      </c>
      <c r="E6" s="4" t="inlineStr">
        <is>
          <t>UB fridge 3 door;UBR 3DR;3 door underbench fridge;3DR;3DR UBR</t>
        </is>
      </c>
      <c r="F6" s="4" t="inlineStr"/>
      <c r="G6" s="7" t="n">
        <v>139.208</v>
      </c>
      <c r="H6" s="7" t="n">
        <v>0</v>
      </c>
      <c r="I6" s="7" t="n"/>
      <c r="J6" s="7" t="n"/>
      <c r="K6" s="4" t="inlineStr">
        <is>
          <t>CONTINUOUS</t>
        </is>
      </c>
      <c r="L6" s="4" t="inlineStr">
        <is>
          <t>Integral air-cooled refrigeration in this room; net 24-h heat</t>
        </is>
      </c>
      <c r="M6" s="4" t="n"/>
      <c r="N6" s="4" t="inlineStr">
        <is>
          <t>https://www.bromicrefrigeration.com.au/product/under-bench-fridge-417l-3-doors-stainless-steel/</t>
        </is>
      </c>
      <c r="O6" s="4" t="inlineStr">
        <is>
          <t>Codex (needs partner review)</t>
        </is>
      </c>
      <c r="P6" s="8" t="n">
        <v>46315</v>
      </c>
      <c r="Q6" s="4" t="inlineStr">
        <is>
          <t xml:space="preserve">Bromic UBC1795SD-NR (417 L, 3 doors); manufacturer's Specifications, Energy Consumption (kWh/24h): 3.341. Median of 1 example(s): 139.21–139.21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</t>
        </is>
      </c>
    </row>
    <row r="7" ht="381" customHeight="1">
      <c r="A7" s="4" t="inlineStr">
        <is>
          <t>TV-0004</t>
        </is>
      </c>
      <c r="B7" s="4" t="inlineStr">
        <is>
          <t>Under-bench freezer</t>
        </is>
      </c>
      <c r="C7" s="4" t="inlineStr">
        <is>
          <t>Any</t>
        </is>
      </c>
      <c r="D7" s="4" t="inlineStr"/>
      <c r="E7" s="4" t="inlineStr">
        <is>
          <t>UB freezer;UBF;under bench freezer;underbench freezer;underbench freezers</t>
        </is>
      </c>
      <c r="F7" s="4" t="inlineStr"/>
      <c r="G7" s="7" t="n">
        <v>333.75</v>
      </c>
      <c r="H7" s="7" t="n">
        <v>0</v>
      </c>
      <c r="I7" s="7" t="n"/>
      <c r="J7" s="7" t="n"/>
      <c r="K7" s="4" t="inlineStr">
        <is>
          <t>CONTINUOUS</t>
        </is>
      </c>
      <c r="L7" s="4" t="inlineStr">
        <is>
          <t>Integral air-cooled refrigeration in this room; net 24-h heat</t>
        </is>
      </c>
      <c r="M7" s="4" t="n"/>
      <c r="N7" s="4" t="inlineStr">
        <is>
          <t>https://www.bromicrefrigeration.com.au/wp-content/uploads/2023/08/UBF1360SD-NR_SPEC_0824.pdf</t>
        </is>
      </c>
      <c r="O7" s="4" t="inlineStr">
        <is>
          <t>Codex (needs partner review)</t>
        </is>
      </c>
      <c r="P7" s="8" t="n">
        <v>46315</v>
      </c>
      <c r="Q7" s="4" t="inlineStr">
        <is>
          <t>Bromic UBF0140SD-NR / UBF1360SD-NR / UBF1795SD-NR (115–417 L); manufacturer's Specifications, Energy Consumption (kWh/24h): 1.65, 8.01, 9.111. Median of 3 example(s): 68.75–379.62 W; kWh/day ×1000/24. Net room heat equals average electrical consumption for integral same-room refrigeration; NOT condenser gross rejection, cooling capacity or nameplate input. Latent 0: no uncaptured evaporative source. 24-h average, not a compressor peak. One-brand sample; not market validation.  Other sources: https://www.bromicrefrigeration.com.au/wp-content/uploads/2023/08/UBF0140SD-NR_SPEC_0324.pdf ; https://www.bromicrefrigeration.com.au/product/under-bench-freezer-3-doors-stainless-steel/</t>
        </is>
      </c>
    </row>
    <row r="8" ht="306" customHeight="1">
      <c r="A8" s="4" t="inlineStr">
        <is>
          <t>TV-0005</t>
        </is>
      </c>
      <c r="B8" s="4" t="inlineStr">
        <is>
          <t>Upright fridge</t>
        </is>
      </c>
      <c r="C8" s="4" t="inlineStr">
        <is>
          <t>1-door</t>
        </is>
      </c>
      <c r="D8" s="4" t="inlineStr">
        <is>
          <t>Up to about 0.8 m wide</t>
        </is>
      </c>
      <c r="E8" s="4" t="inlineStr">
        <is>
          <t>upright fridge;reach in fridge;1 door fridge;single door fridge</t>
        </is>
      </c>
      <c r="F8" s="4" t="inlineStr"/>
      <c r="G8" s="7" t="n">
        <v>82.5</v>
      </c>
      <c r="H8" s="7" t="n">
        <v>0</v>
      </c>
      <c r="I8" s="7" t="n"/>
      <c r="J8" s="7" t="n"/>
      <c r="K8" s="4" t="inlineStr">
        <is>
          <t>CONTINUOUS</t>
        </is>
      </c>
      <c r="L8" s="4" t="inlineStr">
        <is>
          <t>Integral air-cooled refrigeration in this room; net 24-h heat</t>
        </is>
      </c>
      <c r="M8" s="4" t="n"/>
      <c r="N8" s="4" t="inlineStr">
        <is>
          <t>https://www.bromicrefrigeration.com.au/product/upright-display-fridge-372l-1-door-flat-glass/</t>
        </is>
      </c>
      <c r="O8" s="4" t="inlineStr">
        <is>
          <t>Codex (needs partner review)</t>
        </is>
      </c>
      <c r="P8" s="8" t="n">
        <v>46315</v>
      </c>
      <c r="Q8" s="4" t="inlineStr">
        <is>
          <t>Bromic GM0374-NR (372 L, 1 glass door); manufacturer's Specifications, Energy Consumption (kWh/24h): 1.98. Median of 1 example(s): 82.50–82.50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Glass-door analogue for this broad band; verify solid-door kitchen unit separately.</t>
        </is>
      </c>
    </row>
    <row r="9" ht="291" customHeight="1">
      <c r="A9" s="4" t="inlineStr">
        <is>
          <t>TV-0006</t>
        </is>
      </c>
      <c r="B9" s="4" t="inlineStr">
        <is>
          <t>Upright fridge</t>
        </is>
      </c>
      <c r="C9" s="4" t="inlineStr">
        <is>
          <t>2-door</t>
        </is>
      </c>
      <c r="D9" s="4" t="inlineStr">
        <is>
          <t>Over about 0.8 m wide</t>
        </is>
      </c>
      <c r="E9" s="4" t="inlineStr">
        <is>
          <t>2 door fridge;double door fridge;2 door upright fridge</t>
        </is>
      </c>
      <c r="F9" s="4" t="inlineStr"/>
      <c r="G9" s="7" t="n">
        <v>285.833</v>
      </c>
      <c r="H9" s="7" t="n">
        <v>0</v>
      </c>
      <c r="I9" s="7" t="n"/>
      <c r="J9" s="7" t="n"/>
      <c r="K9" s="4" t="inlineStr">
        <is>
          <t>CONTINUOUS</t>
        </is>
      </c>
      <c r="L9" s="4" t="inlineStr">
        <is>
          <t>Integral air-cooled refrigeration in this room; net 24-h heat</t>
        </is>
      </c>
      <c r="M9" s="4" t="n"/>
      <c r="N9" s="4" t="inlineStr">
        <is>
          <t>https://www.bromicrefrigeration.com.au/wp-content/uploads/2023/08/GM1000LWCAS_SPEC_0723.pdf</t>
        </is>
      </c>
      <c r="O9" s="4" t="inlineStr">
        <is>
          <t>Codex (needs partner review)</t>
        </is>
      </c>
      <c r="P9" s="8" t="n">
        <v>46315</v>
      </c>
      <c r="Q9" s="4" t="inlineStr">
        <is>
          <t>Bromic GM1000LWCAS (960 L, 2 glass doors); manufacturer's Specifications, Energy Consumption (kWh/24h): 6.86. Median of 1 example(s): 285.83–285.83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Glass-door analogue; not a 1300 L solid-door model.</t>
        </is>
      </c>
    </row>
    <row r="10" ht="306" customHeight="1">
      <c r="A10" s="4" t="inlineStr">
        <is>
          <t>TV-0007</t>
        </is>
      </c>
      <c r="B10" s="4" t="inlineStr">
        <is>
          <t>Upright freezer</t>
        </is>
      </c>
      <c r="C10" s="4" t="inlineStr">
        <is>
          <t>Any</t>
        </is>
      </c>
      <c r="D10" s="4" t="inlineStr"/>
      <c r="E10" s="4" t="inlineStr">
        <is>
          <t>upright freezer;reach in freezer;upright freezers</t>
        </is>
      </c>
      <c r="F10" s="4" t="inlineStr"/>
      <c r="G10" s="7" t="n">
        <v>210.062</v>
      </c>
      <c r="H10" s="7" t="n">
        <v>0</v>
      </c>
      <c r="I10" s="7" t="n"/>
      <c r="J10" s="7" t="n"/>
      <c r="K10" s="4" t="inlineStr">
        <is>
          <t>CONTINUOUS</t>
        </is>
      </c>
      <c r="L10" s="4" t="inlineStr">
        <is>
          <t>Integral air-cooled refrigeration in this room; net 24-h heat</t>
        </is>
      </c>
      <c r="M10" s="4" t="n"/>
      <c r="N10" s="4" t="inlineStr">
        <is>
          <t>https://www.bromicrefrigeration.com.au/wp-content/uploads/2025/06/UF0650SDF-NR_SPEC_0525.pdf</t>
        </is>
      </c>
      <c r="O10" s="4" t="inlineStr">
        <is>
          <t>Codex (needs partner review)</t>
        </is>
      </c>
      <c r="P10" s="8" t="n">
        <v>46315</v>
      </c>
      <c r="Q10" s="4" t="inlineStr">
        <is>
          <t>Bromic UF0374SDS-NR / UF0650SDF-NR (300 / 650 L); manufacturer's Specifications, Energy Consumption (kWh/24h): 1.823, 8.26. Median of 2 example(s): 75.96–344.17 W; kWh/day ×1000/24. Net room heat equals average electrical consumption for integral same-room refrigeration; NOT condenser gross rejection, cooling capacity or nameplate input. Latent 0: no uncaptured evaporative source. 24-h average, not a compressor peak. One-brand sample; not market validation.  Other sources: https://www.bromicrefrigeration.com.au/product/upright-freezer-300l-1-door-solid/</t>
        </is>
      </c>
    </row>
    <row r="11" ht="291" customHeight="1">
      <c r="A11" s="4" t="inlineStr">
        <is>
          <t>TV-0008</t>
        </is>
      </c>
      <c r="B11" s="4" t="inlineStr">
        <is>
          <t>Chest freezer</t>
        </is>
      </c>
      <c r="C11" s="4" t="inlineStr">
        <is>
          <t>Any</t>
        </is>
      </c>
      <c r="D11" s="4" t="inlineStr"/>
      <c r="E11" s="4" t="inlineStr">
        <is>
          <t>chest freezer;chest freezers</t>
        </is>
      </c>
      <c r="F11" s="4" t="inlineStr"/>
      <c r="G11" s="7" t="n">
        <v>93.167</v>
      </c>
      <c r="H11" s="7" t="n">
        <v>0</v>
      </c>
      <c r="I11" s="7" t="n"/>
      <c r="J11" s="7" t="n"/>
      <c r="K11" s="4" t="inlineStr">
        <is>
          <t>CONTINUOUS</t>
        </is>
      </c>
      <c r="L11" s="4" t="inlineStr">
        <is>
          <t>Integral air-cooled refrigeration in this room; net 24-h heat</t>
        </is>
      </c>
      <c r="M11" s="4" t="n"/>
      <c r="N11" s="4" t="inlineStr">
        <is>
          <t>https://www.bromicrefrigeration.com.au/product/display-chest-freezer-296l-flat-glass-top/</t>
        </is>
      </c>
      <c r="O11" s="4" t="inlineStr">
        <is>
          <t>Codex (needs partner review)</t>
        </is>
      </c>
      <c r="P11" s="8" t="n">
        <v>46315</v>
      </c>
      <c r="Q11" s="4" t="inlineStr">
        <is>
          <t>Bromic CF0300FTFG-NR (296 L, glass top); manufacturer's Specifications, Energy Consumption (kWh/24h): 2.236. Median of 1 example(s): 93.17–93.17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Glass-top analogue; not a generic domestic chest freezer.</t>
        </is>
      </c>
    </row>
    <row r="12" ht="336" customHeight="1">
      <c r="A12" s="4" t="inlineStr">
        <is>
          <t>TV-0009</t>
        </is>
      </c>
      <c r="B12" s="4" t="inlineStr">
        <is>
          <t>Refrigerated display cabinet</t>
        </is>
      </c>
      <c r="C12" s="4" t="inlineStr">
        <is>
          <t>Up to 1.2 m</t>
        </is>
      </c>
      <c r="D12" s="4" t="inlineStr">
        <is>
          <t>Up to about 1.2 m long</t>
        </is>
      </c>
      <c r="E12" s="4" t="inlineStr">
        <is>
          <t>display fridge;display chiller;cold display;refrigerated display;deli display</t>
        </is>
      </c>
      <c r="F12" s="4" t="inlineStr"/>
      <c r="G12" s="7" t="n">
        <v>570.208</v>
      </c>
      <c r="H12" s="7" t="n">
        <v>0</v>
      </c>
      <c r="I12" s="7" t="n"/>
      <c r="J12" s="7" t="n"/>
      <c r="K12" s="4" t="inlineStr">
        <is>
          <t>CONTINUOUS</t>
        </is>
      </c>
      <c r="L12" s="4" t="inlineStr">
        <is>
          <t>Integral air-cooled refrigeration in this room; net 24-h heat</t>
        </is>
      </c>
      <c r="M12" s="4" t="n"/>
      <c r="N12" s="4" t="inlineStr">
        <is>
          <t>https://www.bromicrefrigeration.com.au/product/cake-display-1200mm/</t>
        </is>
      </c>
      <c r="O12" s="4" t="inlineStr">
        <is>
          <t>Codex (needs partner review)</t>
        </is>
      </c>
      <c r="P12" s="8" t="n">
        <v>46315</v>
      </c>
      <c r="Q12" s="4" t="inlineStr">
        <is>
          <t>Bromic FD4T0900C-NR / FD4T1200C-NR (900 / 1200 mm enclosed cake cases); manufacturer's Specifications, Energy Consumption (kWh/24h): 12.5, 14.87. Median of 2 example(s): 520.83–619.58 W; kWh/day ×1000/24. Net room heat equals average electrical consumption for integral same-room refrigeration; NOT condenser gross rejection, cooling capacity or nameplate input. Latent 0: no uncaptured evaporative source. 24-h average, not a compressor peak. One-brand sample; not market validation. Not an open multideck. Other sources: https://www.bromicrefrigeration.com.au/product/cake-display-900mm/</t>
        </is>
      </c>
    </row>
    <row r="13" ht="291" customHeight="1">
      <c r="A13" s="4" t="inlineStr">
        <is>
          <t>TV-0010</t>
        </is>
      </c>
      <c r="B13" s="4" t="inlineStr">
        <is>
          <t>Refrigerated display cabinet</t>
        </is>
      </c>
      <c r="C13" s="4" t="inlineStr">
        <is>
          <t>Over 1.2 m</t>
        </is>
      </c>
      <c r="D13" s="4" t="inlineStr">
        <is>
          <t>Over about 1.2 m long</t>
        </is>
      </c>
      <c r="E13" s="4" t="inlineStr">
        <is>
          <t>display fridge;display chiller;cold display;refrigerated display;deli display</t>
        </is>
      </c>
      <c r="F13" s="4" t="inlineStr"/>
      <c r="G13" s="7" t="n">
        <v>776.25</v>
      </c>
      <c r="H13" s="7" t="n">
        <v>0</v>
      </c>
      <c r="I13" s="7" t="n"/>
      <c r="J13" s="7" t="n"/>
      <c r="K13" s="4" t="inlineStr">
        <is>
          <t>CONTINUOUS</t>
        </is>
      </c>
      <c r="L13" s="4" t="inlineStr">
        <is>
          <t>Integral air-cooled refrigeration in this room; net 24-h heat</t>
        </is>
      </c>
      <c r="M13" s="4" t="n"/>
      <c r="N13" s="4" t="inlineStr">
        <is>
          <t>https://www.bromicrefrigeration.com.au/product/cake-display-1500mm/</t>
        </is>
      </c>
      <c r="O13" s="4" t="inlineStr">
        <is>
          <t>Codex (needs partner review)</t>
        </is>
      </c>
      <c r="P13" s="8" t="n">
        <v>46315</v>
      </c>
      <c r="Q13" s="4" t="inlineStr">
        <is>
          <t>Bromic FD4T1500C-NR (1500 mm enclosed cake case); manufacturer's Specifications, Energy Consumption (kWh/24h): 18.63. Median of 1 example(s): 776.25–776.25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Not an open multideck or an arbitrary length.</t>
        </is>
      </c>
    </row>
    <row r="14" ht="291" customHeight="1">
      <c r="A14" s="4" t="inlineStr">
        <is>
          <t>TV-0011</t>
        </is>
      </c>
      <c r="B14" s="4" t="inlineStr">
        <is>
          <t>Drinks fridge</t>
        </is>
      </c>
      <c r="C14" s="4" t="inlineStr">
        <is>
          <t>Glass door</t>
        </is>
      </c>
      <c r="D14" s="4" t="inlineStr">
        <is>
          <t>Single glass door drinks fridge; multi-door is TV-0066</t>
        </is>
      </c>
      <c r="E14" s="4" t="inlineStr">
        <is>
          <t>drinks fridge;bottle cooler;beverage fridge;glass door fridge;single door drinks fridge;drinks refrigerator</t>
        </is>
      </c>
      <c r="F14" s="4" t="inlineStr"/>
      <c r="G14" s="7" t="n">
        <v>82.5</v>
      </c>
      <c r="H14" s="7" t="n">
        <v>0</v>
      </c>
      <c r="I14" s="7" t="n"/>
      <c r="J14" s="7" t="n"/>
      <c r="K14" s="4" t="inlineStr">
        <is>
          <t>CONTINUOUS</t>
        </is>
      </c>
      <c r="L14" s="4" t="inlineStr">
        <is>
          <t>Integral air-cooled refrigeration in this room; net 24-h heat</t>
        </is>
      </c>
      <c r="M14" s="4" t="n"/>
      <c r="N14" s="4" t="inlineStr">
        <is>
          <t>https://www.bromicrefrigeration.com.au/product/upright-display-fridge-372l-1-door-flat-glass/</t>
        </is>
      </c>
      <c r="O14" s="4" t="inlineStr">
        <is>
          <t>Codex (needs partner review)</t>
        </is>
      </c>
      <c r="P14" s="8" t="n">
        <v>46315</v>
      </c>
      <c r="Q14" s="4" t="inlineStr">
        <is>
          <t>Bromic GM0374-NR (372 L, 1 glass door); manufacturer's Specifications, Energy Consumption (kWh/24h): 1.98. Median of 1 example(s): 82.50–82.50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Single-door only; multi-door analogues are TV-0066.</t>
        </is>
      </c>
    </row>
    <row r="15" ht="321" customHeight="1">
      <c r="A15" s="4" t="inlineStr">
        <is>
          <t>TV-0012</t>
        </is>
      </c>
      <c r="B15" s="4" t="inlineStr">
        <is>
          <t>Refrigerated prep bench</t>
        </is>
      </c>
      <c r="C15" s="4" t="inlineStr">
        <is>
          <t>Any</t>
        </is>
      </c>
      <c r="D15" s="4" t="inlineStr"/>
      <c r="E15" s="4" t="inlineStr">
        <is>
          <t>prep fridge;refrigerated prep bench;saladette;pizza prep fridge</t>
        </is>
      </c>
      <c r="F15" s="4" t="inlineStr"/>
      <c r="G15" s="7" t="n">
        <v>162.083</v>
      </c>
      <c r="H15" s="7" t="n">
        <v>0</v>
      </c>
      <c r="I15" s="7" t="n"/>
      <c r="J15" s="7" t="n"/>
      <c r="K15" s="4" t="inlineStr">
        <is>
          <t>CONTINUOUS</t>
        </is>
      </c>
      <c r="L15" s="4" t="inlineStr">
        <is>
          <t>Integral air-cooled refrigeration in this room; net 24-h heat</t>
        </is>
      </c>
      <c r="M15" s="4" t="n"/>
      <c r="N15" s="4" t="inlineStr">
        <is>
          <t>https://www.bromicrefrigeration.com.au/wp-content/uploads/2025/06/PP1700_SPEC_0525.pdf</t>
        </is>
      </c>
      <c r="O15" s="4" t="inlineStr">
        <is>
          <t>Codex (needs partner review)</t>
        </is>
      </c>
      <c r="P15" s="8" t="n">
        <v>46315</v>
      </c>
      <c r="Q15" s="4" t="inlineStr">
        <is>
          <t>Bromic PP1700 (572 L, 2 doors, 9 pans); manufacturer's Specifications, Energy Consumption (kWh/24h): 3.89. Median of 1 example(s): 162.08–162.08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Closed pan lids per test; service loading can increase heat. EQ-0322 is idle-only, not a daily average.</t>
        </is>
      </c>
    </row>
    <row r="16" ht="306" customHeight="1">
      <c r="A16" s="4" t="inlineStr">
        <is>
          <t>TV-0013</t>
        </is>
      </c>
      <c r="B16" s="4" t="inlineStr">
        <is>
          <t>Ice machine</t>
        </is>
      </c>
      <c r="C16" s="4" t="inlineStr">
        <is>
          <t>Up to 150 kg/day</t>
        </is>
      </c>
      <c r="D16" s="4" t="inlineStr">
        <is>
          <t>Printed output up to 150 kg/day, or not printed</t>
        </is>
      </c>
      <c r="E16" s="4" t="inlineStr">
        <is>
          <t>ice machine;ice maker;IM;ice flaker;ice machines;ice makers</t>
        </is>
      </c>
      <c r="F16" s="4" t="inlineStr"/>
      <c r="G16" s="7" t="n">
        <v>923.174</v>
      </c>
      <c r="H16" s="7" t="n">
        <v>0</v>
      </c>
      <c r="I16" s="7" t="n"/>
      <c r="J16" s="7" t="n"/>
      <c r="K16" s="4" t="inlineStr">
        <is>
          <t>WHILE_OPEN</t>
        </is>
      </c>
      <c r="L16" s="4" t="inlineStr">
        <is>
          <t>Integral air-cooled condenser in room; ice-making heat rejection</t>
        </is>
      </c>
      <c r="M16" s="4" t="n"/>
      <c r="N16" s="4" t="inlineStr">
        <is>
          <t>https://www.hoshizakiamerica.com/product/km-301baj/</t>
        </is>
      </c>
      <c r="O16" s="4" t="inlineStr">
        <is>
          <t>Codex (needs partner review)</t>
        </is>
      </c>
      <c r="P16" s="8" t="n">
        <v>46315</v>
      </c>
      <c r="Q16" s="4" t="inlineStr">
        <is>
          <t>Hoshizaki KM-116BAJ / KM-301BAJ (57 / 132 kg/day); published Heat Rejection, [2100, 4200] BTU/h ×0.29307107. Median 2 example(s), 615.4–1230.9 W. Gross sensible rejection of integral air-cooled condenser while making ice, NOT daily input. Latent 0 assumes closed machine, plumbed drains, no room evaporation; no remote/water-cooled condenser. US 115 V/60 Hz historical analogues; Australian installed model and capacity need partner review. WHILE_OPEN because not a 24-h average. Other source: https://www.hoshizakiamerica.com/product/km-116baj/</t>
        </is>
      </c>
    </row>
    <row r="17" ht="261" customHeight="1">
      <c r="A17" s="4" t="inlineStr">
        <is>
          <t>TV-0014</t>
        </is>
      </c>
      <c r="B17" s="4" t="inlineStr">
        <is>
          <t>Ice machine</t>
        </is>
      </c>
      <c r="C17" s="4" t="inlineStr">
        <is>
          <t>Over 150 kg/day</t>
        </is>
      </c>
      <c r="D17" s="4" t="inlineStr">
        <is>
          <t>Printed output over 150 kg/day</t>
        </is>
      </c>
      <c r="E17" s="4" t="inlineStr">
        <is>
          <t>ice machine;ice maker;IM;ice machines;ice makers</t>
        </is>
      </c>
      <c r="F17" s="4" t="inlineStr"/>
      <c r="G17" s="7" t="n">
        <v>2051.497</v>
      </c>
      <c r="H17" s="7" t="n">
        <v>0</v>
      </c>
      <c r="I17" s="7" t="n"/>
      <c r="J17" s="7" t="n"/>
      <c r="K17" s="4" t="inlineStr">
        <is>
          <t>WHILE_OPEN</t>
        </is>
      </c>
      <c r="L17" s="4" t="inlineStr">
        <is>
          <t>Integral air-cooled condenser in room; ice-making heat rejection</t>
        </is>
      </c>
      <c r="M17" s="4" t="n"/>
      <c r="N17" s="4" t="inlineStr">
        <is>
          <t>https://www.hoshizakiamerica.com/product/km-515maj/</t>
        </is>
      </c>
      <c r="O17" s="4" t="inlineStr">
        <is>
          <t>Codex (needs partner review)</t>
        </is>
      </c>
      <c r="P17" s="8" t="n">
        <v>46315</v>
      </c>
      <c r="Q17" s="4" t="inlineStr">
        <is>
          <t>Hoshizaki KM-515MAJ (239 kg/day); published Heat Rejection, [7000] BTU/h ×0.29307107. Median 1 example(s), 2051.5–2051.5 W. Gross sensible rejection of integral air-cooled condenser while making ice, NOT daily input. Latent 0 assumes closed machine, plumbed drains, no room evaporation; no remote/water-cooled condenser. US 115 V/60 Hz historical analogues; Australian installed model and capacity need partner review. WHILE_OPEN because not a 24-h average.</t>
        </is>
      </c>
    </row>
    <row r="18" ht="171" customHeight="1">
      <c r="A18" s="4" t="inlineStr">
        <is>
          <t>TV-0015</t>
        </is>
      </c>
      <c r="B18" s="4" t="inlineStr">
        <is>
          <t>Blast chiller</t>
        </is>
      </c>
      <c r="C18" s="4" t="inlineStr">
        <is>
          <t>Any</t>
        </is>
      </c>
      <c r="D18" s="4" t="inlineStr"/>
      <c r="E18" s="4" t="inlineStr">
        <is>
          <t>blast chiller;blast freezer</t>
        </is>
      </c>
      <c r="F18" s="4" t="inlineStr"/>
      <c r="G18" s="7" t="n"/>
      <c r="H18" s="7" t="n"/>
      <c r="I18" s="7" t="n"/>
      <c r="J18" s="7" t="n"/>
      <c r="K18" s="4" t="inlineStr">
        <is>
          <t>WHILE_OPEN</t>
        </is>
      </c>
      <c r="L18" s="4" t="inlineStr">
        <is>
          <t>Project evidence required: room / exhaust / remote heat destination</t>
        </is>
      </c>
      <c r="M18" s="4" t="inlineStr">
        <is>
          <t>EQ-0313</t>
        </is>
      </c>
      <c r="N18" s="4" t="inlineStr">
        <is>
          <t>https://handbook.ashrae.org/Handbooks/F17/SI/f17_ch18/f17_ch18_si.aspx</t>
        </is>
      </c>
      <c r="O18" s="4" t="inlineStr">
        <is>
          <t>Codex (needs partner review)</t>
        </is>
      </c>
      <c r="P18" s="8" t="n">
        <v>46315</v>
      </c>
      <c r="Q18" s="4" t="inlineStr">
        <is>
          <t>Further research required if this item is used in the project. No sourced normal-cycle heat-to-room sensible/latent split for this size-free blast-chiller band; pull-down, load and condenser location matter. Refrigeration capacity and rated input are not room gains. EQ-0313 is reference-only.</t>
        </is>
      </c>
    </row>
    <row r="19" ht="291" customHeight="1">
      <c r="A19" s="4" t="inlineStr">
        <is>
          <t>TV-0016</t>
        </is>
      </c>
      <c r="B19" s="4" t="inlineStr">
        <is>
          <t>Deep fryer</t>
        </is>
      </c>
      <c r="C19" s="4" t="inlineStr">
        <is>
          <t>Countertop</t>
        </is>
      </c>
      <c r="D19" s="4" t="inlineStr">
        <is>
          <t>Bench-mounted</t>
        </is>
      </c>
      <c r="E19" s="4" t="inlineStr">
        <is>
          <t>fryer;deep fryer;countertop fryer;deep fryers;fryers</t>
        </is>
      </c>
      <c r="F19" s="4" t="inlineStr"/>
      <c r="G19" s="7" t="n">
        <v>694</v>
      </c>
      <c r="H19" s="7" t="n">
        <v>1629</v>
      </c>
      <c r="I19" s="7" t="n">
        <v>202</v>
      </c>
      <c r="J19" s="7" t="n">
        <v>0</v>
      </c>
      <c r="K19" s="4" t="inlineStr">
        <is>
          <t>WHILE_OPEN</t>
        </is>
      </c>
      <c r="L19" s="4" t="inlineStr">
        <is>
          <t>Room; under-hood values require complete capture exhausted outdoors</t>
        </is>
      </c>
      <c r="M19" s="4" t="inlineStr">
        <is>
          <t>EQ-0169</t>
        </is>
      </c>
      <c r="N19" s="4" t="inlineStr">
        <is>
          <t>https://handbook.ashrae.org/Handbooks/F17/SI/f17_ch18/f17_ch18_si.aspx</t>
        </is>
      </c>
      <c r="O19" s="4" t="inlineStr">
        <is>
          <t>Codex (needs partner review)</t>
        </is>
      </c>
      <c r="P19" s="8" t="n">
        <v>46315</v>
      </c>
      <c r="Q19" s="4" t="inlineStr">
        <is>
          <t>ASHRAE 2017 Fundamentals ch18 Table 5B, countertop open deep-fat fryer: use measured heat columns (sensible = radiant + convective), not rated/cooking input. One test analogue; size-band and installed duty need partner review. FU=0.83 is already reflected in test emissions; do not multiply it again. Under-hood sensible = tabulated radiant 202 W, latent 0, per ch18 effective capture principle; this is a derived capture estimate, not a separate hooded test. Recirculating/ineffective hoods use free-standing values.</t>
        </is>
      </c>
    </row>
    <row r="20" ht="156" customHeight="1">
      <c r="A20" s="4" t="inlineStr">
        <is>
          <t>TV-0017</t>
        </is>
      </c>
      <c r="B20" s="4" t="inlineStr">
        <is>
          <t>Deep fryer</t>
        </is>
      </c>
      <c r="C20" s="4" t="inlineStr">
        <is>
          <t>Floor-standing</t>
        </is>
      </c>
      <c r="D20" s="4" t="inlineStr">
        <is>
          <t>Free-standing, single or twin pan</t>
        </is>
      </c>
      <c r="E20" s="4" t="inlineStr">
        <is>
          <t>fryer;deep fryer;floor fryer;twin pan fryer;pressure fryer;deep fryers;fryers</t>
        </is>
      </c>
      <c r="F20" s="4" t="inlineStr"/>
      <c r="G20" s="7" t="n"/>
      <c r="H20" s="7" t="n"/>
      <c r="I20" s="7" t="n">
        <v>293</v>
      </c>
      <c r="J20" s="7" t="n">
        <v>0</v>
      </c>
      <c r="K20" s="4" t="inlineStr">
        <is>
          <t>WHILE_OPEN</t>
        </is>
      </c>
      <c r="L20" s="4" t="inlineStr">
        <is>
          <t>Project evidence required: room / exhaust / remote heat destination</t>
        </is>
      </c>
      <c r="M20" s="4" t="inlineStr">
        <is>
          <t>EQ-0310</t>
        </is>
      </c>
      <c r="N20" s="4" t="inlineStr">
        <is>
          <t>https://handbook.ashrae.org/Handbooks/F17/SI/f17_ch18/f17_ch18_si.aspx</t>
        </is>
      </c>
      <c r="O20" s="4" t="inlineStr">
        <is>
          <t>Codex (needs partner review)</t>
        </is>
      </c>
      <c r="P20" s="8" t="n">
        <v>46315</v>
      </c>
      <c r="Q20" s="4" t="inlineStr">
        <is>
          <t>Further research required if this item is used in the project. EQ-0310 / Tables 5C–5D are hooded idle/ready examples, not free-standing cooking data. No matching floor fryer unhooded sensible/latent measurements located; countertop values are not scaled by input.</t>
        </is>
      </c>
    </row>
    <row r="21" ht="321" customHeight="1">
      <c r="A21" s="4" t="inlineStr">
        <is>
          <t>TV-0018</t>
        </is>
      </c>
      <c r="B21" s="4" t="inlineStr">
        <is>
          <t>Griddle / hotplate</t>
        </is>
      </c>
      <c r="C21" s="4" t="inlineStr">
        <is>
          <t>Up to 0.9 m</t>
        </is>
      </c>
      <c r="D21" s="4" t="inlineStr">
        <is>
          <t>Up to about 0.9 m wide</t>
        </is>
      </c>
      <c r="E21" s="4" t="inlineStr">
        <is>
          <t>griddle;hotplate;hot plate;flat top;griddles;hotplates</t>
        </is>
      </c>
      <c r="F21" s="4" t="inlineStr"/>
      <c r="G21" s="7" t="n">
        <v>1479</v>
      </c>
      <c r="H21" s="7" t="n">
        <v>1277</v>
      </c>
      <c r="I21" s="7" t="n">
        <v>848</v>
      </c>
      <c r="J21" s="7" t="n">
        <v>0</v>
      </c>
      <c r="K21" s="4" t="inlineStr">
        <is>
          <t>WHILE_OPEN</t>
        </is>
      </c>
      <c r="L21" s="4" t="inlineStr">
        <is>
          <t>Room; under-hood values require complete capture exhausted outdoors</t>
        </is>
      </c>
      <c r="M21" s="4" t="inlineStr">
        <is>
          <t>EQ-0170</t>
        </is>
      </c>
      <c r="N21" s="4" t="inlineStr">
        <is>
          <t>https://handbook.ashrae.org/Handbooks/F17/SI/f17_ch18/f17_ch18_si.aspx</t>
        </is>
      </c>
      <c r="O21" s="4" t="inlineStr">
        <is>
          <t>Codex (needs partner review)</t>
        </is>
      </c>
      <c r="P21" s="8" t="n">
        <v>46315</v>
      </c>
      <c r="Q21" s="4" t="inlineStr">
        <is>
          <t>ASHRAE 2017 Fundamentals ch18 Table 5B, countertop griddle (848 +631 sensible; published component rounding differs from EQ-0170 by 1 W): use measured heat columns (sensible = radiant + convective), not rated/cooking input. One test analogue; size-band and installed duty need partner review. FU=0.41 is already reflected in test emissions; do not multiply it again. Under-hood sensible = tabulated radiant 848 W, latent 0, per ch18 effective capture principle; this is a derived capture estimate, not a separate hooded test. Recirculating/ineffective hoods use free-standing values.</t>
        </is>
      </c>
    </row>
    <row r="22" ht="111" customHeight="1">
      <c r="A22" s="4" t="inlineStr">
        <is>
          <t>TV-0019</t>
        </is>
      </c>
      <c r="B22" s="4" t="inlineStr">
        <is>
          <t>Griddle / hotplate</t>
        </is>
      </c>
      <c r="C22" s="4" t="inlineStr">
        <is>
          <t>Over 0.9 m</t>
        </is>
      </c>
      <c r="D22" s="4" t="inlineStr">
        <is>
          <t>Over about 0.9 m wide</t>
        </is>
      </c>
      <c r="E22" s="4" t="inlineStr">
        <is>
          <t>griddle;hotplate;hot plate;flat top</t>
        </is>
      </c>
      <c r="F22" s="4" t="inlineStr"/>
      <c r="G22" s="7" t="n"/>
      <c r="H22" s="7" t="n"/>
      <c r="I22" s="7" t="n"/>
      <c r="J22" s="7" t="n"/>
      <c r="K22" s="4" t="inlineStr">
        <is>
          <t>WHILE_OPEN</t>
        </is>
      </c>
      <c r="L22" s="4" t="inlineStr">
        <is>
          <t>Project evidence required: room / exhaust / remote heat destination</t>
        </is>
      </c>
      <c r="M22" s="4" t="inlineStr">
        <is>
          <t>EQ-0170</t>
        </is>
      </c>
      <c r="N22" s="4" t="inlineStr">
        <is>
          <t>https://handbook.ashrae.org/Handbooks/F17/SI/f17_ch18/f17_ch18_si.aspx</t>
        </is>
      </c>
      <c r="O22" s="4" t="inlineStr">
        <is>
          <t>Codex (needs partner review)</t>
        </is>
      </c>
      <c r="P22" s="8" t="n">
        <v>46315</v>
      </c>
      <c r="Q22" s="4" t="inlineStr">
        <is>
          <t>Further research required if this item is used in the project. Hooded 900 mm examples do not establish unhooded emissions or performance above 0.9 m. No width-scaled nameplate substitution.</t>
        </is>
      </c>
    </row>
    <row r="23" ht="126" customHeight="1">
      <c r="A23" s="4" t="inlineStr">
        <is>
          <t>TV-0020</t>
        </is>
      </c>
      <c r="B23" s="4" t="inlineStr">
        <is>
          <t>Chargrill</t>
        </is>
      </c>
      <c r="C23" s="4" t="inlineStr">
        <is>
          <t>Any</t>
        </is>
      </c>
      <c r="D23" s="4" t="inlineStr"/>
      <c r="E23" s="4" t="inlineStr">
        <is>
          <t>chargrill;char grill;grill</t>
        </is>
      </c>
      <c r="F23" s="4" t="inlineStr"/>
      <c r="G23" s="7" t="n"/>
      <c r="H23" s="7" t="n"/>
      <c r="I23" s="7" t="n">
        <v>3165</v>
      </c>
      <c r="J23" s="7" t="n">
        <v>0</v>
      </c>
      <c r="K23" s="4" t="inlineStr">
        <is>
          <t>WHILE_OPEN</t>
        </is>
      </c>
      <c r="L23" s="4" t="inlineStr">
        <is>
          <t>Project evidence required: room / exhaust / remote heat destination</t>
        </is>
      </c>
      <c r="M23" s="4" t="inlineStr">
        <is>
          <t>EQ-0309</t>
        </is>
      </c>
      <c r="N23" s="4" t="inlineStr">
        <is>
          <t>https://handbook.ashrae.org/Handbooks/F25/SI/F25_Ch18/F25_Ch18_si.aspx</t>
        </is>
      </c>
      <c r="O23" s="4" t="inlineStr">
        <is>
          <t>Codex (needs partner review)</t>
        </is>
      </c>
      <c r="P23" s="8" t="n">
        <v>46315</v>
      </c>
      <c r="Q23" s="4" t="inlineStr">
        <is>
          <t>Further research required if this item is used in the project. Table 8C 900 mm electric underfired broiler gives hooded idle radiation only; gas/charcoal differ. No comparable unhooded sensible/latent test.</t>
        </is>
      </c>
    </row>
    <row r="24" ht="156" customHeight="1">
      <c r="A24" s="4" t="inlineStr">
        <is>
          <t>TV-0021</t>
        </is>
      </c>
      <c r="B24" s="4" t="inlineStr">
        <is>
          <t>Combi oven</t>
        </is>
      </c>
      <c r="C24" s="4" t="inlineStr">
        <is>
          <t>6-tray</t>
        </is>
      </c>
      <c r="D24" s="4" t="inlineStr">
        <is>
          <t>6-1/1 or 6-2/1, or not printed</t>
        </is>
      </c>
      <c r="E24" s="4" t="inlineStr">
        <is>
          <t>combi oven;combi;combi steamer;combination oven</t>
        </is>
      </c>
      <c r="F24" s="4" t="inlineStr"/>
      <c r="G24" s="7" t="n"/>
      <c r="H24" s="7" t="n"/>
      <c r="I24" s="7" t="n"/>
      <c r="J24" s="7" t="n"/>
      <c r="K24" s="4" t="inlineStr">
        <is>
          <t>WHILE_OPEN</t>
        </is>
      </c>
      <c r="L24" s="4" t="inlineStr">
        <is>
          <t>Project evidence required: room / exhaust / remote heat destination</t>
        </is>
      </c>
      <c r="M24" s="4" t="inlineStr">
        <is>
          <t>EQ-0302</t>
        </is>
      </c>
      <c r="N24" s="4" t="inlineStr">
        <is>
          <t>https://www.moffat.com.au/sites/default/files/products/specification/OES_6_10_MINI_MOBILE_AN.pdf</t>
        </is>
      </c>
      <c r="O24" s="4" t="inlineStr">
        <is>
          <t>Codex (needs partner review)</t>
        </is>
      </c>
      <c r="P24" s="8" t="n">
        <v>46315</v>
      </c>
      <c r="Q24" s="4" t="inlineStr">
        <is>
          <t>Further research required if this item is used in the project. EQ-0302 publishes 402.78 W sensible /369.44 W latent for OES 6.10 mini, but test mode/exhaust and radiation split are unspecified. Cannot supply defensible free-standing AND hooded pair for this band.</t>
        </is>
      </c>
    </row>
    <row r="25" ht="111" customHeight="1">
      <c r="A25" s="4" t="inlineStr">
        <is>
          <t>TV-0022</t>
        </is>
      </c>
      <c r="B25" s="4" t="inlineStr">
        <is>
          <t>Combi oven</t>
        </is>
      </c>
      <c r="C25" s="4" t="inlineStr">
        <is>
          <t>10-tray or larger</t>
        </is>
      </c>
      <c r="D25" s="4" t="inlineStr">
        <is>
          <t>10-1/1 and larger</t>
        </is>
      </c>
      <c r="E25" s="4" t="inlineStr">
        <is>
          <t>combi oven 10 tray;10 tray combi</t>
        </is>
      </c>
      <c r="F25" s="4" t="inlineStr"/>
      <c r="G25" s="7" t="n"/>
      <c r="H25" s="7" t="n"/>
      <c r="I25" s="7" t="n"/>
      <c r="J25" s="7" t="n"/>
      <c r="K25" s="4" t="inlineStr">
        <is>
          <t>WHILE_OPEN</t>
        </is>
      </c>
      <c r="L25" s="4" t="inlineStr">
        <is>
          <t>Project evidence required: room / exhaust / remote heat destination</t>
        </is>
      </c>
      <c r="M25" s="4" t="inlineStr">
        <is>
          <t>EQ-0302</t>
        </is>
      </c>
      <c r="N25" s="4" t="inlineStr">
        <is>
          <t>https://handbook.ashrae.org/Handbooks/F17/SI/f17_ch18/f17_ch18_si.aspx</t>
        </is>
      </c>
      <c r="O25" s="4" t="inlineStr">
        <is>
          <t>Codex (needs partner review)</t>
        </is>
      </c>
      <c r="P25" s="8" t="n">
        <v>46315</v>
      </c>
      <c r="Q25" s="4" t="inlineStr">
        <is>
          <t>Further research required if this item is used in the project. No 10-tray-or-larger unhooded emissions located. The 6-tray mini is not size-scaled; Tables 5C–5D supply hooded idle examples only.</t>
        </is>
      </c>
    </row>
    <row r="26" ht="141" customHeight="1">
      <c r="A26" s="4" t="inlineStr">
        <is>
          <t>TV-0023</t>
        </is>
      </c>
      <c r="B26" s="4" t="inlineStr">
        <is>
          <t>Convection oven</t>
        </is>
      </c>
      <c r="C26" s="4" t="inlineStr">
        <is>
          <t>Any</t>
        </is>
      </c>
      <c r="D26" s="4" t="inlineStr"/>
      <c r="E26" s="4" t="inlineStr">
        <is>
          <t>convection oven;convection ovens;fan forced oven</t>
        </is>
      </c>
      <c r="F26" s="4" t="inlineStr"/>
      <c r="G26" s="7" t="n"/>
      <c r="H26" s="7" t="n"/>
      <c r="I26" s="7" t="n">
        <v>440</v>
      </c>
      <c r="J26" s="7" t="n">
        <v>0</v>
      </c>
      <c r="K26" s="4" t="inlineStr">
        <is>
          <t>WHILE_OPEN</t>
        </is>
      </c>
      <c r="L26" s="4" t="inlineStr">
        <is>
          <t>Project evidence required: room / exhaust / remote heat destination</t>
        </is>
      </c>
      <c r="M26" s="4" t="inlineStr">
        <is>
          <t>EQ-0156</t>
        </is>
      </c>
      <c r="N26" s="4" t="inlineStr">
        <is>
          <t>https://handbook.ashrae.org/Handbooks/F17/SI/f17_ch18/f17_ch18_si.aspx</t>
        </is>
      </c>
      <c r="O26" s="4" t="inlineStr">
        <is>
          <t>Codex (needs partner review)</t>
        </is>
      </c>
      <c r="P26" s="8" t="n">
        <v>46315</v>
      </c>
      <c r="Q26" s="4" t="inlineStr">
        <is>
          <t>Further research required if this item is used in the project. EQ-0156 / Table 5C full-size convection oven: 440 W hooded idle radiation only. No unhooded sensible/latent data located; conveyor/pizza tests are different types.</t>
        </is>
      </c>
    </row>
    <row r="27" ht="126" customHeight="1">
      <c r="A27" s="4" t="inlineStr">
        <is>
          <t>TV-0024</t>
        </is>
      </c>
      <c r="B27" s="4" t="inlineStr">
        <is>
          <t>Range / cooktop</t>
        </is>
      </c>
      <c r="C27" s="4" t="inlineStr">
        <is>
          <t>4-burner</t>
        </is>
      </c>
      <c r="D27" s="4" t="inlineStr"/>
      <c r="E27" s="4" t="inlineStr">
        <is>
          <t>4 burner;four burner range;cooktop;stove</t>
        </is>
      </c>
      <c r="F27" s="4" t="inlineStr"/>
      <c r="G27" s="7" t="n"/>
      <c r="H27" s="7" t="n"/>
      <c r="I27" s="7" t="n"/>
      <c r="J27" s="7" t="n"/>
      <c r="K27" s="4" t="inlineStr">
        <is>
          <t>WHILE_OPEN</t>
        </is>
      </c>
      <c r="L27" s="4" t="inlineStr">
        <is>
          <t>Project evidence required: room / exhaust / remote heat destination</t>
        </is>
      </c>
      <c r="M27" s="4" t="inlineStr">
        <is>
          <t>EQ-0154; EQ-0308</t>
        </is>
      </c>
      <c r="N27" s="4" t="inlineStr">
        <is>
          <t>https://handbook.ashrae.org/Handbooks/F17/SI/f17_ch18/f17_ch18_si.aspx</t>
        </is>
      </c>
      <c r="O27" s="4" t="inlineStr">
        <is>
          <t>Codex (needs partner review)</t>
        </is>
      </c>
      <c r="P27" s="8" t="n">
        <v>46315</v>
      </c>
      <c r="Q27" s="4" t="inlineStr">
        <is>
          <t>Further research required if this item is used in the project. Table 5B single hotplate is not a four-burner range; Table 5C has 3/6 elements at idle under a hood only. No four-burner unhooded sensible/latent test located.</t>
        </is>
      </c>
    </row>
    <row r="28" ht="126" customHeight="1">
      <c r="A28" s="4" t="inlineStr">
        <is>
          <t>TV-0025</t>
        </is>
      </c>
      <c r="B28" s="4" t="inlineStr">
        <is>
          <t>Range / cooktop</t>
        </is>
      </c>
      <c r="C28" s="4" t="inlineStr">
        <is>
          <t>6-burner</t>
        </is>
      </c>
      <c r="D28" s="4" t="inlineStr"/>
      <c r="E28" s="4" t="inlineStr">
        <is>
          <t>6 burner;six burner range;range;oven range</t>
        </is>
      </c>
      <c r="F28" s="4" t="inlineStr"/>
      <c r="G28" s="7" t="n"/>
      <c r="H28" s="7" t="n"/>
      <c r="I28" s="7" t="n">
        <v>4074</v>
      </c>
      <c r="J28" s="7" t="n">
        <v>0</v>
      </c>
      <c r="K28" s="4" t="inlineStr">
        <is>
          <t>WHILE_OPEN</t>
        </is>
      </c>
      <c r="L28" s="4" t="inlineStr">
        <is>
          <t>Project evidence required: room / exhaust / remote heat destination</t>
        </is>
      </c>
      <c r="M28" s="4" t="inlineStr">
        <is>
          <t>EQ-0308</t>
        </is>
      </c>
      <c r="N28" s="4" t="inlineStr">
        <is>
          <t>https://handbook.ashrae.org/Handbooks/F17/SI/f17_ch18/f17_ch18_si.aspx</t>
        </is>
      </c>
      <c r="O28" s="4" t="inlineStr">
        <is>
          <t>Codex (needs partner review)</t>
        </is>
      </c>
      <c r="P28" s="8" t="n">
        <v>46315</v>
      </c>
      <c r="Q28" s="4" t="inlineStr">
        <is>
          <t>Further research required if this item is used in the project. Table 5C six-element range (oven off) 4074 W is hooded idle radiation only. No matching six-burner free-standing sensible/latent split located.</t>
        </is>
      </c>
    </row>
    <row r="29" ht="126" customHeight="1">
      <c r="A29" s="4" t="inlineStr">
        <is>
          <t>TV-0026</t>
        </is>
      </c>
      <c r="B29" s="4" t="inlineStr">
        <is>
          <t>Wok burner</t>
        </is>
      </c>
      <c r="C29" s="4" t="inlineStr">
        <is>
          <t>Per burner</t>
        </is>
      </c>
      <c r="D29" s="4" t="inlineStr">
        <is>
          <t>Count each wok hole</t>
        </is>
      </c>
      <c r="E29" s="4" t="inlineStr">
        <is>
          <t>wok;wok burner;wok range</t>
        </is>
      </c>
      <c r="F29" s="4" t="inlineStr"/>
      <c r="G29" s="7" t="n"/>
      <c r="H29" s="7" t="n"/>
      <c r="I29" s="7" t="n">
        <v>1524</v>
      </c>
      <c r="J29" s="7" t="n">
        <v>0</v>
      </c>
      <c r="K29" s="4" t="inlineStr">
        <is>
          <t>WHILE_OPEN</t>
        </is>
      </c>
      <c r="L29" s="4" t="inlineStr">
        <is>
          <t>Project evidence required: room / exhaust / remote heat destination</t>
        </is>
      </c>
      <c r="M29" s="4" t="n"/>
      <c r="N29" s="4" t="inlineStr">
        <is>
          <t>https://handbook.ashrae.org/Handbooks/F17/SI/f17_ch18/f17_ch18_si.aspx</t>
        </is>
      </c>
      <c r="O29" s="4" t="inlineStr">
        <is>
          <t>Codex (needs partner review)</t>
        </is>
      </c>
      <c r="P29" s="8" t="n">
        <v>46315</v>
      </c>
      <c r="Q29" s="4" t="inlineStr">
        <is>
          <t>Further research required if this item is used in the project. Table 5D wok 1524 W is hooded idle radiation, not free-standing burner heat. No unhooded sensible/latent data or per-burner test located.</t>
        </is>
      </c>
    </row>
    <row r="30" ht="291" customHeight="1">
      <c r="A30" s="4" t="inlineStr">
        <is>
          <t>TV-0027</t>
        </is>
      </c>
      <c r="B30" s="4" t="inlineStr">
        <is>
          <t>Induction hob</t>
        </is>
      </c>
      <c r="C30" s="4" t="inlineStr">
        <is>
          <t>Per hob</t>
        </is>
      </c>
      <c r="D30" s="4" t="inlineStr"/>
      <c r="E30" s="4" t="inlineStr">
        <is>
          <t>induction;induction hob;induction cooktop;induction hobs</t>
        </is>
      </c>
      <c r="F30" s="4" t="inlineStr"/>
      <c r="G30" s="7" t="n">
        <v>318</v>
      </c>
      <c r="H30" s="7" t="n">
        <v>335</v>
      </c>
      <c r="I30" s="7" t="n">
        <v>0</v>
      </c>
      <c r="J30" s="7" t="n">
        <v>0</v>
      </c>
      <c r="K30" s="4" t="inlineStr">
        <is>
          <t>WHILE_OPEN</t>
        </is>
      </c>
      <c r="L30" s="4" t="inlineStr">
        <is>
          <t>Room; under-hood values require complete capture exhausted outdoors</t>
        </is>
      </c>
      <c r="M30" s="4" t="inlineStr">
        <is>
          <t>EQ-0153; EQ-0307</t>
        </is>
      </c>
      <c r="N30" s="4" t="inlineStr">
        <is>
          <t>https://handbook.ashrae.org/Handbooks/F17/SI/f17_ch18/f17_ch18_si.aspx</t>
        </is>
      </c>
      <c r="O30" s="4" t="inlineStr">
        <is>
          <t>Codex (needs partner review)</t>
        </is>
      </c>
      <c r="P30" s="8" t="n">
        <v>46315</v>
      </c>
      <c r="Q30" s="4" t="inlineStr">
        <is>
          <t>ASHRAE 2017 Fundamentals ch18 Table 5B, one countertop induction hob: use measured heat columns (sensible = radiant + convective), not rated/cooking input. One test analogue; size-band and installed duty need partner review. FU=0.13 is already reflected in test emissions; do not multiply it again. Under-hood sensible = tabulated radiant 0 W, latent 0, per ch18 effective capture principle; this is a derived capture estimate, not a separate hooded test. Recirculating/ineffective hoods use free-standing values.</t>
        </is>
      </c>
    </row>
    <row r="31" ht="141" customHeight="1">
      <c r="A31" s="4" t="inlineStr">
        <is>
          <t>TV-0028</t>
        </is>
      </c>
      <c r="B31" s="4" t="inlineStr">
        <is>
          <t>Salamander</t>
        </is>
      </c>
      <c r="C31" s="4" t="inlineStr">
        <is>
          <t>Any</t>
        </is>
      </c>
      <c r="D31" s="4" t="inlineStr"/>
      <c r="E31" s="4" t="inlineStr">
        <is>
          <t>salamander;salamander grill</t>
        </is>
      </c>
      <c r="F31" s="4" t="inlineStr"/>
      <c r="G31" s="7" t="n"/>
      <c r="H31" s="7" t="n"/>
      <c r="I31" s="7" t="n">
        <v>2051</v>
      </c>
      <c r="J31" s="7" t="n">
        <v>0</v>
      </c>
      <c r="K31" s="4" t="inlineStr">
        <is>
          <t>WHILE_OPEN</t>
        </is>
      </c>
      <c r="L31" s="4" t="inlineStr">
        <is>
          <t>Project evidence required: room / exhaust / remote heat destination</t>
        </is>
      </c>
      <c r="M31" s="4" t="inlineStr">
        <is>
          <t>EQ-0306</t>
        </is>
      </c>
      <c r="N31" s="4" t="inlineStr">
        <is>
          <t>https://handbook.ashrae.org/Handbooks/F17/SI/f17_ch18/f17_ch18_si.aspx</t>
        </is>
      </c>
      <c r="O31" s="4" t="inlineStr">
        <is>
          <t>Codex (needs partner review)</t>
        </is>
      </c>
      <c r="P31" s="8" t="n">
        <v>46315</v>
      </c>
      <c r="Q31" s="4" t="inlineStr">
        <is>
          <t>Further research required if this item is used in the project. EQ-0306 / Table 5C electric salamander: 2051 W hooded idle radiation only. No comparable unhooded cooking heat split located. Cheesemelter is not automatically a salamander.</t>
        </is>
      </c>
    </row>
    <row r="32" ht="231" customHeight="1">
      <c r="A32" s="4" t="inlineStr">
        <is>
          <t>TV-0029</t>
        </is>
      </c>
      <c r="B32" s="4" t="inlineStr">
        <is>
          <t>Bain-marie / food well</t>
        </is>
      </c>
      <c r="C32" s="4" t="inlineStr">
        <is>
          <t>Any</t>
        </is>
      </c>
      <c r="D32" s="4" t="inlineStr"/>
      <c r="E32" s="4" t="inlineStr">
        <is>
          <t>bain marie;bain-marie;food well;steam table;hot food well;bain maries;food wells</t>
        </is>
      </c>
      <c r="F32" s="4" t="inlineStr"/>
      <c r="G32" s="7" t="n">
        <v>264</v>
      </c>
      <c r="H32" s="7" t="n">
        <v>762</v>
      </c>
      <c r="I32" s="7" t="n">
        <v>88</v>
      </c>
      <c r="J32" s="7" t="n">
        <v>0</v>
      </c>
      <c r="K32" s="4" t="inlineStr">
        <is>
          <t>WHILE_OPEN</t>
        </is>
      </c>
      <c r="L32" s="4" t="inlineStr">
        <is>
          <t>Room; hood values only for effective externally exhausted capture</t>
        </is>
      </c>
      <c r="M32" s="4" t="inlineStr">
        <is>
          <t>EQ-0312</t>
        </is>
      </c>
      <c r="N32" s="4" t="inlineStr">
        <is>
          <t>https://handbook.ashrae.org/Handbooks/F17/SI/f17_ch18/f17_ch18_si.aspx</t>
        </is>
      </c>
      <c r="O32" s="4" t="inlineStr">
        <is>
          <t>Codex (needs partner review)</t>
        </is>
      </c>
      <c r="P32" s="8" t="n">
        <v>46315</v>
      </c>
      <c r="Q32" s="4" t="inlineStr">
        <is>
          <t>ASHRAE 2017 ch18 Table 5A / EQ-0312 two-well steam table at holding temperature (idle/ready, NOT reheat/startup). Normal maintaining/holding analogue only; single test. Sensible 88+176=264 W, latent 762 W. FU 0.69 already in measurements. Under effective external hood use radiant 88 W and latent 0 (derived capture estimate). Number/size of wells and actual steam release need review. No electrical nameplate used.</t>
        </is>
      </c>
    </row>
    <row r="33" ht="276" customHeight="1">
      <c r="A33" s="4" t="inlineStr">
        <is>
          <t>TV-0030</t>
        </is>
      </c>
      <c r="B33" s="4" t="inlineStr">
        <is>
          <t>Heated display / holding cabinet</t>
        </is>
      </c>
      <c r="C33" s="4" t="inlineStr">
        <is>
          <t>Any</t>
        </is>
      </c>
      <c r="D33" s="4" t="inlineStr"/>
      <c r="E33" s="4" t="inlineStr">
        <is>
          <t>hot food display;heated display;warmer;hot holding cabinet;food warmer</t>
        </is>
      </c>
      <c r="F33" s="4" t="inlineStr"/>
      <c r="G33" s="7" t="n">
        <v>762.5</v>
      </c>
      <c r="H33" s="7" t="n">
        <v>0</v>
      </c>
      <c r="I33" s="7" t="n">
        <v>234.5</v>
      </c>
      <c r="J33" s="7" t="n">
        <v>0</v>
      </c>
      <c r="K33" s="4" t="inlineStr">
        <is>
          <t>WHILE_OPEN</t>
        </is>
      </c>
      <c r="L33" s="4" t="inlineStr">
        <is>
          <t>Room; hood values only for effective externally exhausted capture</t>
        </is>
      </c>
      <c r="M33" s="4" t="inlineStr">
        <is>
          <t>EQ-0167; EQ-0168; EQ-0311</t>
        </is>
      </c>
      <c r="N33" s="4" t="inlineStr">
        <is>
          <t>https://handbook.ashrae.org/Handbooks/F17/SI/f17_ch18/f17_ch18_si.aspx</t>
        </is>
      </c>
      <c r="O33" s="4" t="inlineStr">
        <is>
          <t>Codex (needs partner review)</t>
        </is>
      </c>
      <c r="P33" s="8" t="n">
        <v>46315</v>
      </c>
      <c r="Q33" s="4" t="inlineStr">
        <is>
          <t>ASHRAE 2017 ch18 Table 5A, four holding examples: insulated/uninsulated hot-serving cabinets and dry/moist hot-food cases. Component medians S=762.5 W (352–1026), L=0 W (0–176); not a measured single cabinet. Normal temperature-maintaining state only, not reheating. Radiant median=234.5 W (117,205,264,264), used under an effective external hood with L=0. Mixed insulation/moisture sample; partner must review latent when wet holding is known. FU already in table, not applied again.</t>
        </is>
      </c>
    </row>
    <row r="34" ht="276" customHeight="1">
      <c r="A34" s="4" t="inlineStr">
        <is>
          <t>TV-0031</t>
        </is>
      </c>
      <c r="B34" s="4" t="inlineStr">
        <is>
          <t>Rice cooker</t>
        </is>
      </c>
      <c r="C34" s="4" t="inlineStr">
        <is>
          <t>Any</t>
        </is>
      </c>
      <c r="D34" s="4" t="inlineStr"/>
      <c r="E34" s="4" t="inlineStr">
        <is>
          <t>rice cooker</t>
        </is>
      </c>
      <c r="F34" s="4" t="inlineStr"/>
      <c r="G34" s="7" t="n">
        <v>109</v>
      </c>
      <c r="H34" s="7" t="n">
        <v>44</v>
      </c>
      <c r="I34" s="7" t="n">
        <v>14</v>
      </c>
      <c r="J34" s="7" t="n">
        <v>0</v>
      </c>
      <c r="K34" s="4" t="inlineStr">
        <is>
          <t>WHILE_OPEN</t>
        </is>
      </c>
      <c r="L34" s="4" t="inlineStr">
        <is>
          <t>Room; under-hood values require complete capture exhausted outdoors</t>
        </is>
      </c>
      <c r="M34" s="4" t="inlineStr">
        <is>
          <t>EQ-0304</t>
        </is>
      </c>
      <c r="N34" s="4" t="inlineStr">
        <is>
          <t>https://handbook.ashrae.org/Handbooks/F17/SI/f17_ch18/f17_ch18_si.aspx</t>
        </is>
      </c>
      <c r="O34" s="4" t="inlineStr">
        <is>
          <t>Codex (needs partner review)</t>
        </is>
      </c>
      <c r="P34" s="8" t="n">
        <v>46315</v>
      </c>
      <c r="Q34" s="4" t="inlineStr">
        <is>
          <t>ASHRAE 2017 Fundamentals ch18 Table 5B, rice cooker: use measured heat columns (sensible = radiant + convective), not rated/cooking input. One test analogue; size-band and installed duty need partner review. FU=0.75 is already reflected in test emissions; do not multiply it again. Under-hood sensible = tabulated radiant 14 W, latent 0, per ch18 effective capture principle; this is a derived capture estimate, not a separate hooded test. Recirculating/ineffective hoods use free-standing values.</t>
        </is>
      </c>
    </row>
    <row r="35" ht="141" customHeight="1">
      <c r="A35" s="4" t="inlineStr">
        <is>
          <t>TV-0032</t>
        </is>
      </c>
      <c r="B35" s="4" t="inlineStr">
        <is>
          <t>Pasta cooker</t>
        </is>
      </c>
      <c r="C35" s="4" t="inlineStr">
        <is>
          <t>Any</t>
        </is>
      </c>
      <c r="D35" s="4" t="inlineStr"/>
      <c r="E35" s="4" t="inlineStr">
        <is>
          <t>pasta cooker;noodle cooker</t>
        </is>
      </c>
      <c r="F35" s="4" t="inlineStr"/>
      <c r="G35" s="7" t="n"/>
      <c r="H35" s="7" t="n"/>
      <c r="I35" s="7" t="n">
        <v>0</v>
      </c>
      <c r="J35" s="7" t="n">
        <v>0</v>
      </c>
      <c r="K35" s="4" t="inlineStr">
        <is>
          <t>WHILE_OPEN</t>
        </is>
      </c>
      <c r="L35" s="4" t="inlineStr">
        <is>
          <t>Project evidence required: room / exhaust / remote heat destination</t>
        </is>
      </c>
      <c r="M35" s="4" t="inlineStr">
        <is>
          <t>EQ-0305</t>
        </is>
      </c>
      <c r="N35" s="4" t="inlineStr">
        <is>
          <t>https://handbook.ashrae.org/Handbooks/F17/SI/f17_ch18/f17_ch18_si.aspx</t>
        </is>
      </c>
      <c r="O35" s="4" t="inlineStr">
        <is>
          <t>Codex (needs partner review)</t>
        </is>
      </c>
      <c r="P35" s="8" t="n">
        <v>46315</v>
      </c>
      <c r="Q35" s="4" t="inlineStr">
        <is>
          <t>Further research required if this item is used in the project. Pasta cookers in Tables 5C–5D have zero hooded idle radiation, but no unhooded sensible/latent values. Zero captured radiation does not prove zero free-standing load.</t>
        </is>
      </c>
    </row>
    <row r="36" ht="321" customHeight="1">
      <c r="A36" s="4" t="inlineStr">
        <is>
          <t>TV-0033</t>
        </is>
      </c>
      <c r="B36" s="4" t="inlineStr">
        <is>
          <t>Microwave</t>
        </is>
      </c>
      <c r="C36" s="4" t="inlineStr">
        <is>
          <t>Commercial</t>
        </is>
      </c>
      <c r="D36" s="4" t="inlineStr"/>
      <c r="E36" s="4" t="inlineStr">
        <is>
          <t>microwave;commercial microwave;microwaves</t>
        </is>
      </c>
      <c r="F36" s="4" t="inlineStr"/>
      <c r="G36" s="7" t="n">
        <v>934</v>
      </c>
      <c r="H36" s="7" t="n">
        <v>995</v>
      </c>
      <c r="I36" s="7" t="n">
        <v>0</v>
      </c>
      <c r="J36" s="7" t="n">
        <v>0</v>
      </c>
      <c r="K36" s="4" t="inlineStr">
        <is>
          <t>WHILE_OPEN</t>
        </is>
      </c>
      <c r="L36" s="4" t="inlineStr">
        <is>
          <t>Room; under-hood values require complete capture exhausted outdoors</t>
        </is>
      </c>
      <c r="M36" s="4" t="inlineStr">
        <is>
          <t>EQ-0303</t>
        </is>
      </c>
      <c r="N36" s="4" t="inlineStr">
        <is>
          <t>https://handbook.ashrae.org/Handbooks/F17/SI/f17_ch18/f17_ch18_si.aspx</t>
        </is>
      </c>
      <c r="O36" s="4" t="inlineStr">
        <is>
          <t>Codex (needs partner review)</t>
        </is>
      </c>
      <c r="P36" s="8" t="n">
        <v>46315</v>
      </c>
      <c r="Q36" s="4" t="inlineStr">
        <is>
          <t>ASHRAE 2017 Fundamentals ch18 Table 5B, commercial microwave: use measured heat columns (sensible = radiant + convective), not rated/cooking input. One test analogue; size-band and installed duty need partner review. FU=1.39 as published (not an electrical efficiency) is already reflected in test emissions; do not multiply it again. Under-hood sensible = tabulated radiant 0 W, latent 0, per ch18 effective capture principle; this is a derived capture estimate, not a separate hooded test. Recirculating/ineffective hoods use free-standing values.</t>
        </is>
      </c>
    </row>
    <row r="37" ht="231" customHeight="1">
      <c r="A37" s="4" t="inlineStr">
        <is>
          <t>TV-0034</t>
        </is>
      </c>
      <c r="B37" s="4" t="inlineStr">
        <is>
          <t>Toaster</t>
        </is>
      </c>
      <c r="C37" s="4" t="inlineStr">
        <is>
          <t>Any</t>
        </is>
      </c>
      <c r="D37" s="4" t="inlineStr"/>
      <c r="E37" s="4" t="inlineStr">
        <is>
          <t>toaster;conveyor toaster;toasters</t>
        </is>
      </c>
      <c r="F37" s="4" t="inlineStr"/>
      <c r="G37" s="7" t="n">
        <v>895</v>
      </c>
      <c r="H37" s="7" t="n">
        <v>322</v>
      </c>
      <c r="I37" s="7" t="n">
        <v>180</v>
      </c>
      <c r="J37" s="7" t="n">
        <v>0</v>
      </c>
      <c r="K37" s="4" t="inlineStr">
        <is>
          <t>WHILE_OPEN</t>
        </is>
      </c>
      <c r="L37" s="4" t="inlineStr">
        <is>
          <t>Room; hood values only for effective externally exhausted capture</t>
        </is>
      </c>
      <c r="M37" s="4" t="inlineStr">
        <is>
          <t>EQ-0150</t>
        </is>
      </c>
      <c r="N37" s="4" t="inlineStr">
        <is>
          <t>https://handbook.ashrae.org/Handbooks/F25/SI/F25_Ch18/F25_Ch18_si.aspx</t>
        </is>
      </c>
      <c r="O37" s="4" t="inlineStr">
        <is>
          <t>Codex (needs partner review)</t>
        </is>
      </c>
      <c r="P37" s="8" t="n">
        <v>46315</v>
      </c>
      <c r="Q37" s="4" t="inlineStr">
        <is>
          <t>ASHRAE 2025 ch18 Tables 8A–8B: cooking pop-up 4-slice, vertical contact, small conveyor. Component medians: sensible 895 W (469–1332), latent 322 W (293–373), radiant 180 W (59–358). Under effective external hood use radiant median 180 and L=0 (derived capture estimate). Three test types, not one product; large conveyor excluded. FU 0.49/0.71/0.98 already represented, not reapplied. Broad band needs subtype review.</t>
        </is>
      </c>
    </row>
    <row r="38" ht="321" customHeight="1">
      <c r="A38" s="4" t="inlineStr">
        <is>
          <t>TV-0035</t>
        </is>
      </c>
      <c r="B38" s="4" t="inlineStr">
        <is>
          <t>Sandwich press</t>
        </is>
      </c>
      <c r="C38" s="4" t="inlineStr">
        <is>
          <t>Any</t>
        </is>
      </c>
      <c r="D38" s="4" t="inlineStr"/>
      <c r="E38" s="4" t="inlineStr">
        <is>
          <t>sandwich press;panini grill;contact grill;sandwich presses</t>
        </is>
      </c>
      <c r="F38" s="4" t="inlineStr"/>
      <c r="G38" s="7" t="n">
        <v>913</v>
      </c>
      <c r="H38" s="7" t="n">
        <v>150</v>
      </c>
      <c r="I38" s="7" t="n">
        <v>195</v>
      </c>
      <c r="J38" s="7" t="n">
        <v>0</v>
      </c>
      <c r="K38" s="4" t="inlineStr">
        <is>
          <t>WHILE_OPEN</t>
        </is>
      </c>
      <c r="L38" s="4" t="inlineStr">
        <is>
          <t>Room; under-hood values require complete capture exhausted outdoors</t>
        </is>
      </c>
      <c r="M38" s="4" t="inlineStr">
        <is>
          <t>EQ-0151</t>
        </is>
      </c>
      <c r="N38" s="4" t="inlineStr">
        <is>
          <t>https://handbook.ashrae.org/Handbooks/F17/SI/f17_ch18/f17_ch18_si.aspx</t>
        </is>
      </c>
      <c r="O38" s="4" t="inlineStr">
        <is>
          <t>Codex (needs partner review)</t>
        </is>
      </c>
      <c r="P38" s="8" t="n">
        <v>46315</v>
      </c>
      <c r="Q38" s="4" t="inlineStr">
        <is>
          <t>ASHRAE 2017 Fundamentals ch18 Table 5B, panini grill (195 +718 =913 sensible; EQ-0151 uses rounded total-minus-latent 912): use measured heat columns (sensible = radiant + convective), not rated/cooking input. One test analogue; size-band and installed duty need partner review. FU=0.76 is already reflected in test emissions; do not multiply it again. Under-hood sensible = tabulated radiant 195 W, latent 0, per ch18 effective capture principle; this is a derived capture estimate, not a separate hooded test. Recirculating/ineffective hoods use free-standing values.</t>
        </is>
      </c>
    </row>
    <row r="39" ht="246" customHeight="1">
      <c r="A39" s="4" t="inlineStr">
        <is>
          <t>TV-0036</t>
        </is>
      </c>
      <c r="B39" s="4" t="inlineStr">
        <is>
          <t>Dishwasher</t>
        </is>
      </c>
      <c r="C39" s="4" t="inlineStr">
        <is>
          <t>Pass-through / hood type</t>
        </is>
      </c>
      <c r="D39" s="4" t="inlineStr"/>
      <c r="E39" s="4" t="inlineStr">
        <is>
          <t>dishwasher;pass through dishwasher;hood type dishwasher;warewasher;DW;dishwashers</t>
        </is>
      </c>
      <c r="F39" s="4" t="inlineStr"/>
      <c r="G39" s="7" t="n">
        <v>1685</v>
      </c>
      <c r="H39" s="7" t="n">
        <v>5626</v>
      </c>
      <c r="I39" s="7" t="n"/>
      <c r="J39" s="7" t="n"/>
      <c r="K39" s="4" t="inlineStr">
        <is>
          <t>WHILE_OPEN</t>
        </is>
      </c>
      <c r="L39" s="4" t="inlineStr">
        <is>
          <t>Unhooded dishwashing room; hot drain-water energy excluded</t>
        </is>
      </c>
      <c r="M39" s="4" t="n"/>
      <c r="N39" s="4" t="inlineStr">
        <is>
          <t>https://handbook.ashrae.org/Handbooks/F17/SI/f17_ch18/f17_ch18_si.aspx</t>
        </is>
      </c>
      <c r="O39" s="4" t="inlineStr">
        <is>
          <t>Codex (needs partner review)</t>
        </is>
      </c>
      <c r="P39" s="8" t="n">
        <v>46315</v>
      </c>
      <c r="Q39" s="4" t="inlineStr">
        <is>
          <t>ASHRAE 2017 ch18 Table 5F, unhooded door-type washing, hot-water and chemical sanitizing (without heat recovery). Component medians S=1685 W (1143–2227), L=5626 W (3868–7384). Hood-type here means the machine lifting door, not an extracting canopy. No external capture credited. Two test analogues, not connected ratings. Actual cycles/h, heat recovery and exhaust are major reviewer checks; table FU 0.31/0.52 not reapplied.</t>
        </is>
      </c>
    </row>
    <row r="40" ht="231" customHeight="1">
      <c r="A40" s="4" t="inlineStr">
        <is>
          <t>TV-0037</t>
        </is>
      </c>
      <c r="B40" s="4" t="inlineStr">
        <is>
          <t>Dishwasher</t>
        </is>
      </c>
      <c r="C40" s="4" t="inlineStr">
        <is>
          <t>Under-counter</t>
        </is>
      </c>
      <c r="D40" s="4" t="inlineStr"/>
      <c r="E40" s="4" t="inlineStr">
        <is>
          <t>under counter dishwasher;undercounter dishwasher;DW;dishwashers;underbench dishwasher</t>
        </is>
      </c>
      <c r="F40" s="4" t="inlineStr"/>
      <c r="G40" s="7" t="n">
        <v>1172.28</v>
      </c>
      <c r="H40" s="7" t="n">
        <v>1348.13</v>
      </c>
      <c r="I40" s="7" t="n"/>
      <c r="J40" s="7" t="n"/>
      <c r="K40" s="4" t="inlineStr">
        <is>
          <t>WHILE_OPEN</t>
        </is>
      </c>
      <c r="L40" s="4" t="inlineStr">
        <is>
          <t>Unhooded dishwashing room; hot drain-water energy excluded</t>
        </is>
      </c>
      <c r="M40" s="4" t="inlineStr">
        <is>
          <t>EQ-0157</t>
        </is>
      </c>
      <c r="N40" s="4" t="inlineStr">
        <is>
          <t>https://www.hobartcorp.com/sites/default/files/webdam-assets/LXeH%20High%20Temp%20Undercounter%20Dishwasher%20Spec%20Sheet%20F40902%20(09-22).pdf</t>
        </is>
      </c>
      <c r="O40" s="4" t="inlineStr">
        <is>
          <t>Codex (needs partner review)</t>
        </is>
      </c>
      <c r="P40" s="8" t="n">
        <v>46315</v>
      </c>
      <c r="Q40" s="4" t="inlineStr">
        <is>
          <t>EQ-0157: Hobart LXeH F40902 (09/22), p2 Heat Output: sensible 4000 BTU/h, latent 4600 BTU/h ×0.29307107. Catalogue rounded values retained. Published capacity 32 racks/h; specific manufacturer analogue, not universal domestic/undercounter heat. No 6.7 kW connected-load substitution; no external capture credited. Confirm actual duty, heat recovery, supply-water temperature and 50 Hz variant.</t>
        </is>
      </c>
    </row>
    <row r="41" ht="171" customHeight="1">
      <c r="A41" s="4" t="inlineStr">
        <is>
          <t>TV-0038</t>
        </is>
      </c>
      <c r="B41" s="4" t="inlineStr">
        <is>
          <t>Glasswasher</t>
        </is>
      </c>
      <c r="C41" s="4" t="inlineStr">
        <is>
          <t>Any</t>
        </is>
      </c>
      <c r="D41" s="4" t="inlineStr"/>
      <c r="E41" s="4" t="inlineStr">
        <is>
          <t>glasswasher;glass washer;GW;glass washers;glasswashers</t>
        </is>
      </c>
      <c r="F41" s="4" t="inlineStr"/>
      <c r="G41" s="7" t="n">
        <v>1400</v>
      </c>
      <c r="H41" s="7" t="n">
        <v>700</v>
      </c>
      <c r="I41" s="7" t="n"/>
      <c r="J41" s="7" t="n"/>
      <c r="K41" s="4" t="inlineStr">
        <is>
          <t>WHILE_OPEN</t>
        </is>
      </c>
      <c r="L41" s="4" t="inlineStr">
        <is>
          <t>Unhooded wash room; no remote moisture capture credited</t>
        </is>
      </c>
      <c r="M41" s="4" t="inlineStr">
        <is>
          <t>EQ-0320</t>
        </is>
      </c>
      <c r="N41" s="4" t="inlineStr">
        <is>
          <t>https://partnernet.meiko-global.com/download/2177/en</t>
        </is>
      </c>
      <c r="O41" s="4" t="inlineStr">
        <is>
          <t>Codex (needs partner review)</t>
        </is>
      </c>
      <c r="P41" s="8" t="n">
        <v>46315</v>
      </c>
      <c r="Q41" s="4" t="inlineStr">
        <is>
          <t>EQ-0320: MEIKO M-iClean UM, technical data p15 (20 programme runs/h): 1.4 kW sensible, 0.7 kW latent; ×1000 W/kW heat output, NOT electrical load. Single-model analogue; confirm cycles/h, recovery and actual model. Exhaust not credited. Factory-connected load is separate and must not be added.</t>
        </is>
      </c>
    </row>
    <row r="42" ht="156" customHeight="1">
      <c r="A42" s="4" t="inlineStr">
        <is>
          <t>TV-0039</t>
        </is>
      </c>
      <c r="B42" s="4" t="inlineStr">
        <is>
          <t>Espresso machine</t>
        </is>
      </c>
      <c r="C42" s="4" t="inlineStr">
        <is>
          <t>2-group</t>
        </is>
      </c>
      <c r="D42" s="4" t="inlineStr"/>
      <c r="E42" s="4" t="inlineStr">
        <is>
          <t>coffee machine;espresso machine;2 group coffee machine;espresso machines;coffee machines</t>
        </is>
      </c>
      <c r="F42" s="4" t="inlineStr"/>
      <c r="G42" s="7" t="n"/>
      <c r="H42" s="7" t="n"/>
      <c r="I42" s="7" t="n"/>
      <c r="J42" s="7" t="n"/>
      <c r="K42" s="4" t="inlineStr">
        <is>
          <t>WHILE_OPEN</t>
        </is>
      </c>
      <c r="L42" s="4" t="inlineStr">
        <is>
          <t>Project evidence required: room / exhaust / remote heat destination</t>
        </is>
      </c>
      <c r="M42" s="4" t="inlineStr">
        <is>
          <t>EQ-0147</t>
        </is>
      </c>
      <c r="N42" s="4" t="inlineStr">
        <is>
          <t>https://handbook.ashrae.org/Handbooks/F17/SI/f17_ch18/f17_ch18_si.aspx</t>
        </is>
      </c>
      <c r="O42" s="4" t="inlineStr">
        <is>
          <t>Codex (needs partner review)</t>
        </is>
      </c>
      <c r="P42" s="8" t="n">
        <v>46315</v>
      </c>
      <c r="Q42" s="4" t="inlineStr">
        <is>
          <t>Further research required if this item is used in the project. EQ-0147 / Table 5A espresso example is idle/ready 352 W (rounded); group count and brewing steam-duty are unspecified. No supported distinction between 2-group and 3+-group normal-service emissions.</t>
        </is>
      </c>
    </row>
    <row r="43" ht="156" customHeight="1">
      <c r="A43" s="4" t="inlineStr">
        <is>
          <t>TV-0040</t>
        </is>
      </c>
      <c r="B43" s="4" t="inlineStr">
        <is>
          <t>Espresso machine</t>
        </is>
      </c>
      <c r="C43" s="4" t="inlineStr">
        <is>
          <t>3-group or larger</t>
        </is>
      </c>
      <c r="D43" s="4" t="inlineStr"/>
      <c r="E43" s="4" t="inlineStr">
        <is>
          <t>3 group coffee machine;espresso machine 3 group;espresso machines;coffee machines</t>
        </is>
      </c>
      <c r="F43" s="4" t="inlineStr"/>
      <c r="G43" s="7" t="n"/>
      <c r="H43" s="7" t="n"/>
      <c r="I43" s="7" t="n"/>
      <c r="J43" s="7" t="n"/>
      <c r="K43" s="4" t="inlineStr">
        <is>
          <t>WHILE_OPEN</t>
        </is>
      </c>
      <c r="L43" s="4" t="inlineStr">
        <is>
          <t>Project evidence required: room / exhaust / remote heat destination</t>
        </is>
      </c>
      <c r="M43" s="4" t="inlineStr">
        <is>
          <t>EQ-0147</t>
        </is>
      </c>
      <c r="N43" s="4" t="inlineStr">
        <is>
          <t>https://handbook.ashrae.org/Handbooks/F17/SI/f17_ch18/f17_ch18_si.aspx</t>
        </is>
      </c>
      <c r="O43" s="4" t="inlineStr">
        <is>
          <t>Codex (needs partner review)</t>
        </is>
      </c>
      <c r="P43" s="8" t="n">
        <v>46315</v>
      </c>
      <c r="Q43" s="4" t="inlineStr">
        <is>
          <t>Further research required if this item is used in the project. EQ-0147 / Table 5A espresso example is idle/ready 352 W (rounded); group count and brewing steam-duty are unspecified. No supported distinction between 2-group and 3+-group normal-service emissions.</t>
        </is>
      </c>
    </row>
    <row r="44" ht="216" customHeight="1">
      <c r="A44" s="4" t="inlineStr">
        <is>
          <t>TV-0041</t>
        </is>
      </c>
      <c r="B44" s="4" t="inlineStr">
        <is>
          <t>Coffee grinder</t>
        </is>
      </c>
      <c r="C44" s="4" t="inlineStr">
        <is>
          <t>Any</t>
        </is>
      </c>
      <c r="D44" s="4" t="inlineStr"/>
      <c r="E44" s="4" t="inlineStr">
        <is>
          <t>coffee grinder;grinder;coffee grinders</t>
        </is>
      </c>
      <c r="F44" s="4" t="inlineStr"/>
      <c r="G44" s="7" t="n">
        <v>73</v>
      </c>
      <c r="H44" s="7" t="n">
        <v>0</v>
      </c>
      <c r="I44" s="7" t="n"/>
      <c r="J44" s="7" t="n"/>
      <c r="K44" s="4" t="inlineStr">
        <is>
          <t>WHILE_OPEN</t>
        </is>
      </c>
      <c r="L44" s="4" t="inlineStr">
        <is>
          <t>Room, dry grinder; no exported process heat credited</t>
        </is>
      </c>
      <c r="M44" s="4" t="n"/>
      <c r="N44" s="4" t="inlineStr">
        <is>
          <t>https://handbook.ashrae.org/Handbooks/F17/SI/f17_ch18/f17_ch18_si.aspx</t>
        </is>
      </c>
      <c r="O44" s="4" t="inlineStr">
        <is>
          <t>Codex (needs partner review)</t>
        </is>
      </c>
      <c r="P44" s="8" t="n">
        <v>46315</v>
      </c>
      <c r="Q44" s="4" t="inlineStr">
        <is>
          <t>ASHRAE 2017 ch18 Table 10: coffee grinder up to 12 cups, measured 15-min peak heat 73 W. Small dry-grinder analogue only, NOT EQ-0319 440 W nominal rating or a validated commercial espresso grinder. Latent 0 assumes no moisture process. Use actual grinding duty; 73 W has not been multiplied by another arbitrary duty factor. Single tested appliance, high uncertainty for large grinders.</t>
        </is>
      </c>
    </row>
    <row r="45" ht="156" customHeight="1">
      <c r="A45" s="4" t="inlineStr">
        <is>
          <t>TV-0042</t>
        </is>
      </c>
      <c r="B45" s="4" t="inlineStr">
        <is>
          <t>Hot water boiler / urn</t>
        </is>
      </c>
      <c r="C45" s="4" t="inlineStr">
        <is>
          <t>Any</t>
        </is>
      </c>
      <c r="D45" s="4" t="inlineStr"/>
      <c r="E45" s="4" t="inlineStr">
        <is>
          <t>hot water unit;boiling water unit;zip;urn;boiler;hot water urn;boiling water urn</t>
        </is>
      </c>
      <c r="F45" s="4" t="inlineStr"/>
      <c r="G45" s="7" t="n"/>
      <c r="H45" s="7" t="n"/>
      <c r="I45" s="7" t="n"/>
      <c r="J45" s="7" t="n"/>
      <c r="K45" s="4" t="inlineStr">
        <is>
          <t>WHILE_OPEN</t>
        </is>
      </c>
      <c r="L45" s="4" t="inlineStr">
        <is>
          <t>Project evidence required: room / exhaust / remote heat destination</t>
        </is>
      </c>
      <c r="M45" s="4" t="inlineStr">
        <is>
          <t>EQ-0149</t>
        </is>
      </c>
      <c r="N45" s="4" t="inlineStr">
        <is>
          <t>https://handbook.ashrae.org/Handbooks/F17/SI/f17_ch18/f17_ch18_si.aspx</t>
        </is>
      </c>
      <c r="O45" s="4" t="inlineStr">
        <is>
          <t>Codex (needs partner review)</t>
        </is>
      </c>
      <c r="P45" s="8" t="n">
        <v>46315</v>
      </c>
      <c r="Q45" s="4" t="inlineStr">
        <is>
          <t>Further research required if this item is used in the project. EQ-0149 / Table 5A is a coffee-brewing urn at idle (147 W sensible /205 W latent), not a normal-service sealed hot-water boiler. Need model, venting, draw-off and room emissions; rated heating kW is not room gain.</t>
        </is>
      </c>
    </row>
    <row r="46" ht="156" customHeight="1">
      <c r="A46" s="4" t="inlineStr">
        <is>
          <t>TV-0043</t>
        </is>
      </c>
      <c r="B46" s="4" t="inlineStr">
        <is>
          <t>Blender / food processor</t>
        </is>
      </c>
      <c r="C46" s="4" t="inlineStr">
        <is>
          <t>Any</t>
        </is>
      </c>
      <c r="D46" s="4" t="inlineStr"/>
      <c r="E46" s="4" t="inlineStr">
        <is>
          <t>blender;food processor</t>
        </is>
      </c>
      <c r="F46" s="4" t="inlineStr"/>
      <c r="G46" s="7" t="n"/>
      <c r="H46" s="7" t="n"/>
      <c r="I46" s="7" t="n"/>
      <c r="J46" s="7" t="n"/>
      <c r="K46" s="4" t="inlineStr">
        <is>
          <t>WHILE_OPEN</t>
        </is>
      </c>
      <c r="L46" s="4" t="inlineStr">
        <is>
          <t>Project evidence required: room / exhaust / remote heat destination</t>
        </is>
      </c>
      <c r="M46" s="4" t="inlineStr">
        <is>
          <t>EQ-0166</t>
        </is>
      </c>
      <c r="N46" s="4" t="inlineStr">
        <is>
          <t>https://loipart.com/en/product/food-processor-55-l</t>
        </is>
      </c>
      <c r="O46" s="4" t="inlineStr">
        <is>
          <t>Codex (needs partner review)</t>
        </is>
      </c>
      <c r="P46" s="8" t="n">
        <v>46315</v>
      </c>
      <c r="Q46" s="4" t="inlineStr">
        <is>
          <t>Further research required if this item is used in the project. Loipart K55 page opened: 1.3 kW electrical loading only, no numerical heat emission. EQ-0166 is an electrical operating rating, not measured room heat; no supported design-hour sensible/latent split.</t>
        </is>
      </c>
    </row>
    <row r="47" ht="201" customHeight="1">
      <c r="A47" s="4" t="inlineStr">
        <is>
          <t>TV-0044</t>
        </is>
      </c>
      <c r="B47" s="4" t="inlineStr">
        <is>
          <t>Dough mixer</t>
        </is>
      </c>
      <c r="C47" s="4" t="inlineStr">
        <is>
          <t>Any</t>
        </is>
      </c>
      <c r="D47" s="4" t="inlineStr"/>
      <c r="E47" s="4" t="inlineStr">
        <is>
          <t>dough mixer;planetary mixer;mixer;dough mixers</t>
        </is>
      </c>
      <c r="F47" s="4" t="inlineStr"/>
      <c r="G47" s="7" t="n">
        <v>480</v>
      </c>
      <c r="H47" s="7" t="n">
        <v>0</v>
      </c>
      <c r="I47" s="7" t="n"/>
      <c r="J47" s="7" t="n"/>
      <c r="K47" s="4" t="inlineStr">
        <is>
          <t>WHILE_OPEN</t>
        </is>
      </c>
      <c r="L47" s="4" t="inlineStr">
        <is>
          <t>Mixer in room; dry operation, no external exhaust</t>
        </is>
      </c>
      <c r="M47" s="4" t="n"/>
      <c r="N47" s="4" t="inlineStr">
        <is>
          <t>https://loipart.com/en/product/planetary-mixer-20-l-with-hub-table-type-3810</t>
        </is>
      </c>
      <c r="O47" s="4" t="inlineStr">
        <is>
          <t>Codex (needs partner review)</t>
        </is>
      </c>
      <c r="P47" s="8" t="n">
        <v>46315</v>
      </c>
      <c r="Q47" s="4" t="inlineStr">
        <is>
          <t>Loipart LMX20 20 L /6.8 kg planetary mixer, Technical Product Specifications: Heat Emission 0.48 kW ×1000 =480 W; not its 0.6 kW loading. Dry dough-mixing analogue: all published emission treated sensible, latent 0 assumes no steam/evaporation. Single product, not a large spiral mixer; production-capacity band and intermittent duty need partner review.</t>
        </is>
      </c>
    </row>
    <row r="48" ht="141" customHeight="1">
      <c r="A48" s="4" t="inlineStr">
        <is>
          <t>TV-0045</t>
        </is>
      </c>
      <c r="B48" s="4" t="inlineStr">
        <is>
          <t>Food slicer</t>
        </is>
      </c>
      <c r="C48" s="4" t="inlineStr">
        <is>
          <t>Any</t>
        </is>
      </c>
      <c r="D48" s="4" t="inlineStr"/>
      <c r="E48" s="4" t="inlineStr">
        <is>
          <t>slicer;meat slicer;food slicer</t>
        </is>
      </c>
      <c r="F48" s="4" t="inlineStr"/>
      <c r="G48" s="7" t="n"/>
      <c r="H48" s="7" t="n"/>
      <c r="I48" s="7" t="n"/>
      <c r="J48" s="7" t="n"/>
      <c r="K48" s="4" t="inlineStr">
        <is>
          <t>WHILE_OPEN</t>
        </is>
      </c>
      <c r="L48" s="4" t="inlineStr">
        <is>
          <t>Project evidence required: room / exhaust / remote heat destination</t>
        </is>
      </c>
      <c r="M48" s="4" t="inlineStr">
        <is>
          <t>EQ-0318</t>
        </is>
      </c>
      <c r="N48" s="4" t="inlineStr">
        <is>
          <t>https://trespade.com/en/products/d-250-professional-slicer</t>
        </is>
      </c>
      <c r="O48" s="4" t="inlineStr">
        <is>
          <t>Codex (needs partner review)</t>
        </is>
      </c>
      <c r="P48" s="8" t="n">
        <v>46315</v>
      </c>
      <c r="Q48" s="4" t="inlineStr">
        <is>
          <t>Further research required if this item is used in the project. EQ-0318 is published electrical consumption (140 W), not a measured heat-to-room design-hour value. Need actual operating heat/duty and food heat export. No nameplate substitution.</t>
        </is>
      </c>
    </row>
    <row r="49" ht="156" customHeight="1">
      <c r="A49" s="4" t="inlineStr">
        <is>
          <t>TV-0046</t>
        </is>
      </c>
      <c r="B49" s="4" t="inlineStr">
        <is>
          <t>Ice cream / frozen dessert machine</t>
        </is>
      </c>
      <c r="C49" s="4" t="inlineStr">
        <is>
          <t>Any</t>
        </is>
      </c>
      <c r="D49" s="4" t="inlineStr"/>
      <c r="E49" s="4" t="inlineStr">
        <is>
          <t>ice cream machine;soft serve;gelato machine;frozen yoghurt machine</t>
        </is>
      </c>
      <c r="F49" s="4" t="inlineStr"/>
      <c r="G49" s="7" t="n"/>
      <c r="H49" s="7" t="n"/>
      <c r="I49" s="7" t="n"/>
      <c r="J49" s="7" t="n"/>
      <c r="K49" s="4" t="inlineStr">
        <is>
          <t>WHILE_OPEN</t>
        </is>
      </c>
      <c r="L49" s="4" t="inlineStr">
        <is>
          <t>Project evidence required: room / exhaust / remote heat destination</t>
        </is>
      </c>
      <c r="M49" s="4" t="inlineStr">
        <is>
          <t>EQ-0324</t>
        </is>
      </c>
      <c r="N49" s="4" t="inlineStr">
        <is>
          <t>https://handbook.ashrae.org/Handbooks/F17/SI/f17_ch18/f17_ch18_si.aspx</t>
        </is>
      </c>
      <c r="O49" s="4" t="inlineStr">
        <is>
          <t>Codex (needs partner review)</t>
        </is>
      </c>
      <c r="P49" s="8" t="n">
        <v>46315</v>
      </c>
      <c r="Q49" s="4" t="inlineStr">
        <is>
          <t>Further research required if this item is used in the project. No sourced normal-service heat-to-room split for this broad ice-cream/frozen-dessert machine type. Condenser may be air/water/remote; electrical rating or freezing capacity is not a defensible room heat value.</t>
        </is>
      </c>
    </row>
    <row r="50" ht="171" customHeight="1">
      <c r="A50" s="4" t="inlineStr">
        <is>
          <t>TV-0047</t>
        </is>
      </c>
      <c r="B50" s="4" t="inlineStr">
        <is>
          <t>POS terminal</t>
        </is>
      </c>
      <c r="C50" s="4" t="inlineStr">
        <is>
          <t>Any</t>
        </is>
      </c>
      <c r="D50" s="4" t="inlineStr"/>
      <c r="E50" s="4" t="inlineStr">
        <is>
          <t>POS;point of sale;register;EFTPOS;cash register;POS terminals;point of sale terminal</t>
        </is>
      </c>
      <c r="F50" s="4" t="inlineStr"/>
      <c r="G50" s="7" t="n">
        <v>58</v>
      </c>
      <c r="H50" s="7" t="n">
        <v>0</v>
      </c>
      <c r="I50" s="7" t="n"/>
      <c r="J50" s="7" t="n"/>
      <c r="K50" s="4" t="inlineStr">
        <is>
          <t>WHILE_OPEN</t>
        </is>
      </c>
      <c r="L50" s="4" t="inlineStr">
        <is>
          <t>Electronics and integral display in room</t>
        </is>
      </c>
      <c r="M50" s="4" t="inlineStr">
        <is>
          <t>EQ-0029</t>
        </is>
      </c>
      <c r="N50" s="4" t="inlineStr">
        <is>
          <t>https://handbook.ashrae.org/Handbooks/F17/SI/f17_ch18/f17_ch18_si.aspx</t>
        </is>
      </c>
      <c r="O50" s="4" t="inlineStr">
        <is>
          <t>Codex (needs partner review)</t>
        </is>
      </c>
      <c r="P50" s="8" t="n">
        <v>46315</v>
      </c>
      <c r="Q50" s="4" t="inlineStr">
        <is>
          <t>EQ-0029 / ASHRAE 2017 ch18 Table 10 touchscreen computer/POS: measured 15-min peak heat 58 W. One historical 380 mm touchscreen system, not current-market validation. Includes its screen; do not add a separate monitor for an integrated terminal. Dry electronics, latent 0; room heat assumed retained.</t>
        </is>
      </c>
    </row>
    <row r="51" ht="186" customHeight="1">
      <c r="A51" s="4" t="inlineStr">
        <is>
          <t>TV-0048</t>
        </is>
      </c>
      <c r="B51" s="4" t="inlineStr">
        <is>
          <t>Desktop computer</t>
        </is>
      </c>
      <c r="C51" s="4" t="inlineStr">
        <is>
          <t>Medium</t>
        </is>
      </c>
      <c r="D51" s="4" t="inlineStr">
        <is>
          <t>Ordinary office desktop</t>
        </is>
      </c>
      <c r="E51" s="4" t="inlineStr">
        <is>
          <t>computer;PC;desktop;CPU;desktop computers;PCs</t>
        </is>
      </c>
      <c r="F51" s="4" t="inlineStr"/>
      <c r="G51" s="7" t="n">
        <v>80</v>
      </c>
      <c r="H51" s="7" t="n">
        <v>0</v>
      </c>
      <c r="I51" s="7" t="n"/>
      <c r="J51" s="7" t="n"/>
      <c r="K51" s="4" t="inlineStr">
        <is>
          <t>WHILE_OPEN</t>
        </is>
      </c>
      <c r="L51" s="4" t="inlineStr">
        <is>
          <t>Desktop electronics in room; monitor counted separately</t>
        </is>
      </c>
      <c r="M51" s="4" t="n"/>
      <c r="N51" s="4" t="inlineStr">
        <is>
          <t>https://handbook.ashrae.org/Handbooks/F17/SI/f17_ch18/f17_ch18_si.aspx</t>
        </is>
      </c>
      <c r="O51" s="4" t="inlineStr">
        <is>
          <t>Codex (needs partner review)</t>
        </is>
      </c>
      <c r="P51" s="8" t="n">
        <v>46315</v>
      </c>
      <c r="Q51" s="4" t="inlineStr">
        <is>
          <t>ASHRAE 2017 ch18 Table 8A desktop test configurations, median of 21 listed 15-min peak heat measurements: 80 W, range 26–151 W. Equal weight per listed test configuration, not sample-count weighted. Tower only, excludes monitor. Dry electronics latent 0. Historical office-size analogue; gaming/workstation/server devices excluded.</t>
        </is>
      </c>
    </row>
    <row r="52" ht="171" customHeight="1">
      <c r="A52" s="4" t="inlineStr">
        <is>
          <t>TV-0049</t>
        </is>
      </c>
      <c r="B52" s="4" t="inlineStr">
        <is>
          <t>Monitor</t>
        </is>
      </c>
      <c r="C52" s="4" t="inlineStr">
        <is>
          <t>Up to 27 inch</t>
        </is>
      </c>
      <c r="D52" s="4" t="inlineStr"/>
      <c r="E52" s="4" t="inlineStr">
        <is>
          <t>monitor;screen;monitors</t>
        </is>
      </c>
      <c r="F52" s="4" t="inlineStr"/>
      <c r="G52" s="7" t="n">
        <v>22</v>
      </c>
      <c r="H52" s="7" t="n">
        <v>0</v>
      </c>
      <c r="I52" s="7" t="n"/>
      <c r="J52" s="7" t="n"/>
      <c r="K52" s="4" t="inlineStr">
        <is>
          <t>WHILE_OPEN</t>
        </is>
      </c>
      <c r="L52" s="4" t="inlineStr">
        <is>
          <t>Display in room; no second count of integrated screen</t>
        </is>
      </c>
      <c r="M52" s="4" t="n"/>
      <c r="N52" s="4" t="inlineStr">
        <is>
          <t>https://handbook.ashrae.org/Handbooks/F17/SI/f17_ch18/f17_ch18_si.aspx</t>
        </is>
      </c>
      <c r="O52" s="4" t="inlineStr">
        <is>
          <t>Codex (needs partner review)</t>
        </is>
      </c>
      <c r="P52" s="8" t="n">
        <v>46315</v>
      </c>
      <c r="Q52" s="4" t="inlineStr">
        <is>
          <t>ASHRAE 2017 ch18 Table 8D, nine listed screen configurations 546–686 mm (21.5–27 inch), median measured peak 22 W, range 14–26 W; atypical 34/50/55 inch excluded. Dry display, latent 0. Historical LED screen sample; brightness matters. Do not count separately if included in a POS/all-in-one.</t>
        </is>
      </c>
    </row>
    <row r="53" ht="216" customHeight="1">
      <c r="A53" s="4" t="inlineStr">
        <is>
          <t>TV-0050</t>
        </is>
      </c>
      <c r="B53" s="4" t="inlineStr">
        <is>
          <t>TV / digital screen</t>
        </is>
      </c>
      <c r="C53" s="4" t="inlineStr">
        <is>
          <t>Up to 55 inch</t>
        </is>
      </c>
      <c r="D53" s="4" t="inlineStr"/>
      <c r="E53" s="4" t="inlineStr">
        <is>
          <t>TV;television;digital screen;menu board;display screen;TVs;televisions;digital screens</t>
        </is>
      </c>
      <c r="F53" s="4" t="inlineStr"/>
      <c r="G53" s="7" t="n">
        <v>87.042</v>
      </c>
      <c r="H53" s="7" t="n">
        <v>0</v>
      </c>
      <c r="I53" s="7" t="n"/>
      <c r="J53" s="7" t="n"/>
      <c r="K53" s="4" t="inlineStr">
        <is>
          <t>WHILE_OPEN</t>
        </is>
      </c>
      <c r="L53" s="4" t="inlineStr">
        <is>
          <t>Indoor display and integrated supply in room</t>
        </is>
      </c>
      <c r="M53" s="4" t="n"/>
      <c r="N53" s="4" t="inlineStr">
        <is>
          <t>https://media.us.lg.com/m/1d6bfab4849f227a/original/UH5N-M-Series-Spec-Sheet.pdf</t>
        </is>
      </c>
      <c r="O53" s="4" t="inlineStr">
        <is>
          <t>Codex (needs partner review)</t>
        </is>
      </c>
      <c r="P53" s="8" t="n">
        <v>46315</v>
      </c>
      <c r="Q53" s="4" t="inlineStr">
        <is>
          <t>LG UH5N-M specification SPEC_UH5N-M_0625_5.0A p4, Heat Dissipation (Typ.), models 43 /49 /55UH5N-M: [283, 297, 351] BTU/h ×0.29307107. Median of 3 models; sensible range 82.9–102.9 W. One manufacturer; 500-nit commercial display analogue, not all consumer TVs. Dry electronics latent 0. No maximum/nameplate input substituted; installed brightness and size beyond sampled band need review.</t>
        </is>
      </c>
    </row>
    <row r="54" ht="216" customHeight="1">
      <c r="A54" s="4" t="inlineStr">
        <is>
          <t>TV-0051</t>
        </is>
      </c>
      <c r="B54" s="4" t="inlineStr">
        <is>
          <t>TV / digital screen</t>
        </is>
      </c>
      <c r="C54" s="4" t="inlineStr">
        <is>
          <t>Over 55 inch</t>
        </is>
      </c>
      <c r="D54" s="4" t="inlineStr"/>
      <c r="E54" s="4" t="inlineStr">
        <is>
          <t>TV;television;digital screen;video wall;TVs;televisions;digital screens</t>
        </is>
      </c>
      <c r="F54" s="4" t="inlineStr"/>
      <c r="G54" s="7" t="n">
        <v>160.017</v>
      </c>
      <c r="H54" s="7" t="n">
        <v>0</v>
      </c>
      <c r="I54" s="7" t="n"/>
      <c r="J54" s="7" t="n"/>
      <c r="K54" s="4" t="inlineStr">
        <is>
          <t>WHILE_OPEN</t>
        </is>
      </c>
      <c r="L54" s="4" t="inlineStr">
        <is>
          <t>Indoor display and integrated supply in room</t>
        </is>
      </c>
      <c r="M54" s="4" t="n"/>
      <c r="N54" s="4" t="inlineStr">
        <is>
          <t>https://media.us.lg.com/m/1d6bfab4849f227a/original/UH5N-M-Series-Spec-Sheet.pdf</t>
        </is>
      </c>
      <c r="O54" s="4" t="inlineStr">
        <is>
          <t>Codex (needs partner review)</t>
        </is>
      </c>
      <c r="P54" s="8" t="n">
        <v>46315</v>
      </c>
      <c r="Q54" s="4" t="inlineStr">
        <is>
          <t>LG UH5N-M specification SPEC_UH5N-M_0625_5.0A p4, Heat Dissipation (Typ.), models 65 /75 /86UH5N-M: [444, 546, 699] BTU/h ×0.29307107. Median of 3 models; sensible range 130.1–204.9 W. One manufacturer; 500-nit commercial display analogue, not all consumer TVs. Dry electronics latent 0. No maximum/nameplate input substituted; installed brightness and size beyond sampled band need review.</t>
        </is>
      </c>
    </row>
    <row r="55" ht="201" customHeight="1">
      <c r="A55" s="4" t="inlineStr">
        <is>
          <t>TV-0052</t>
        </is>
      </c>
      <c r="B55" s="4" t="inlineStr">
        <is>
          <t>Illuminated sign / lightbox</t>
        </is>
      </c>
      <c r="C55" s="4" t="inlineStr">
        <is>
          <t>Per sign</t>
        </is>
      </c>
      <c r="D55" s="4" t="inlineStr"/>
      <c r="E55" s="4" t="inlineStr">
        <is>
          <t>sign;illuminated sign;lightbox;light box;neon</t>
        </is>
      </c>
      <c r="F55" s="4" t="inlineStr"/>
      <c r="G55" s="7" t="n"/>
      <c r="H55" s="7" t="n"/>
      <c r="I55" s="7" t="n"/>
      <c r="J55" s="7" t="n"/>
      <c r="K55" s="4" t="inlineStr">
        <is>
          <t>WHILE_OPEN</t>
        </is>
      </c>
      <c r="L55" s="4" t="inlineStr">
        <is>
          <t>Project evidence required: room / exhaust / remote heat destination</t>
        </is>
      </c>
      <c r="M55" s="4" t="n"/>
      <c r="N55" s="4" t="inlineStr">
        <is>
          <t>https://handbook.ashrae.org/Handbooks/F17/SI/f17_ch18/f17_ch18_si.aspx</t>
        </is>
      </c>
      <c r="O55" s="4" t="inlineStr">
        <is>
          <t>Codex (needs partner review)</t>
        </is>
      </c>
      <c r="P55" s="8" t="n">
        <v>46315</v>
      </c>
      <c r="Q55" s="4" t="inlineStr">
        <is>
          <t>Further research required if this item is used in the project. No defensible W per sign without sign dimensions, illuminated area, technology and indoor heat destination. ASHRAE lighting method needs actual operating lighting power; a power allowance or one exit sign is not an advertising lightbox typical. Avoid double-counting lighting.</t>
        </is>
      </c>
    </row>
    <row r="56" ht="201" customHeight="1">
      <c r="A56" s="4" t="inlineStr">
        <is>
          <t>TV-0053</t>
        </is>
      </c>
      <c r="B56" s="4" t="inlineStr">
        <is>
          <t>Printer</t>
        </is>
      </c>
      <c r="C56" s="4" t="inlineStr">
        <is>
          <t>Small office</t>
        </is>
      </c>
      <c r="D56" s="4" t="inlineStr"/>
      <c r="E56" s="4" t="inlineStr">
        <is>
          <t>printer;receipt printer;label printer</t>
        </is>
      </c>
      <c r="F56" s="4" t="inlineStr"/>
      <c r="G56" s="7" t="n">
        <v>66</v>
      </c>
      <c r="H56" s="7" t="n">
        <v>0</v>
      </c>
      <c r="I56" s="7" t="n"/>
      <c r="J56" s="7" t="n"/>
      <c r="K56" s="4" t="inlineStr">
        <is>
          <t>WHILE_OPEN</t>
        </is>
      </c>
      <c r="L56" s="4" t="inlineStr">
        <is>
          <t>Printer in room; no separate heat credit for paper export</t>
        </is>
      </c>
      <c r="M56" s="4" t="n"/>
      <c r="N56" s="4" t="inlineStr">
        <is>
          <t>https://handbook.ashrae.org/Handbooks/F17/SI/f17_ch18/f17_ch18_si.aspx</t>
        </is>
      </c>
      <c r="O56" s="4" t="inlineStr">
        <is>
          <t>Codex (needs partner review)</t>
        </is>
      </c>
      <c r="P56" s="8" t="n">
        <v>46315</v>
      </c>
      <c r="Q56" s="4" t="inlineStr">
        <is>
          <t>ASHRAE 2017 ch18 Table 9: small-office desktop multifunction (56 W) and small-office lasers (89/67/65 W), median 66 W, range 56–89 W of measured 15-min peak heat, not nameplate. Four normal printing examples. Dry electronics latent 0; excludes industrial plotters/copiers. Printer diversity 45% is separately listed in Table 11; not pre-applied here.</t>
        </is>
      </c>
    </row>
    <row r="57" ht="261" customHeight="1">
      <c r="A57" s="4" t="inlineStr">
        <is>
          <t>TV-0054</t>
        </is>
      </c>
      <c r="B57" s="4" t="inlineStr">
        <is>
          <t>Any cooking appliance</t>
        </is>
      </c>
      <c r="C57" s="4" t="inlineStr">
        <is>
          <t>Generic</t>
        </is>
      </c>
      <c r="D57" s="4" t="inlineStr">
        <is>
          <t>Used only when no row above fits</t>
        </is>
      </c>
      <c r="E57" s="4" t="inlineStr"/>
      <c r="F57" s="4" t="inlineStr">
        <is>
          <t>cooking</t>
        </is>
      </c>
      <c r="G57" s="7" t="n">
        <v>762.5</v>
      </c>
      <c r="H57" s="7" t="n">
        <v>335</v>
      </c>
      <c r="I57" s="7" t="n">
        <v>180</v>
      </c>
      <c r="J57" s="7" t="n">
        <v>0</v>
      </c>
      <c r="K57" s="4" t="inlineStr">
        <is>
          <t>WHILE_OPEN</t>
        </is>
      </c>
      <c r="L57" s="4" t="inlineStr">
        <is>
          <t>In room; generic cannot establish installed heat destination</t>
        </is>
      </c>
      <c r="M57" s="4" t="inlineStr">
        <is>
          <t>TV-0016; TV-0018; TV-0027; TV-0029; TV-0030; TV-0031; TV-0033; TV-0034; TV-0035</t>
        </is>
      </c>
      <c r="N57" s="4" t="inlineStr">
        <is>
          <t>https://handbook.ashrae.org/Handbooks/F25/SI/F25_Ch18/F25_Ch18_si.aspx</t>
        </is>
      </c>
      <c r="O57" s="4" t="inlineStr">
        <is>
          <t>Codex (needs partner review)</t>
        </is>
      </c>
      <c r="P57" s="8" t="n">
        <v>46315</v>
      </c>
      <c r="Q57" s="4" t="inlineStr">
        <is>
          <t>Component-wise medians of 9 filled cooking rows (TV-0016, TV-0018, TV-0027, TV-0029, TV-0030, TV-0031, TV-0033, TV-0034, TV-0035): S=762.5 W, L=335 W. Equal weight per typical row; component medians need not describe one appliance. Range S=109–1479, L=0–1629 W. Representative source: TV-0034. Broad fallback only; partner review required.  Hood S is median radiation; L=0 requires effective outdoor exhaust. Runtime generic branch currently uses free-standing fields.</t>
        </is>
      </c>
    </row>
    <row r="58" ht="291" customHeight="1">
      <c r="A58" s="4" t="inlineStr">
        <is>
          <t>TV-0055</t>
        </is>
      </c>
      <c r="B58" s="4" t="inlineStr">
        <is>
          <t>Any refrigerated unit</t>
        </is>
      </c>
      <c r="C58" s="4" t="inlineStr">
        <is>
          <t>Generic</t>
        </is>
      </c>
      <c r="D58" s="4" t="inlineStr">
        <is>
          <t>Used only when no row above fits</t>
        </is>
      </c>
      <c r="E58" s="4" t="inlineStr"/>
      <c r="F58" s="4" t="inlineStr">
        <is>
          <t>refrigeration</t>
        </is>
      </c>
      <c r="G58" s="7" t="n">
        <v>162.083</v>
      </c>
      <c r="H58" s="7" t="n">
        <v>0</v>
      </c>
      <c r="I58" s="7" t="n"/>
      <c r="J58" s="7" t="n"/>
      <c r="K58" s="4" t="inlineStr">
        <is>
          <t>CONTINUOUS</t>
        </is>
      </c>
      <c r="L58" s="4" t="inlineStr">
        <is>
          <t>Integral same-room refrigeration, net 24-h average</t>
        </is>
      </c>
      <c r="M58" s="4" t="inlineStr">
        <is>
          <t>TV-0001; TV-0002; TV-0003; TV-0004; TV-0005; TV-0006; TV-0007; TV-0008; TV-0009; TV-0010; TV-0011; TV-0012; TV-0066</t>
        </is>
      </c>
      <c r="N58" s="4" t="inlineStr">
        <is>
          <t>https://www.bromicrefrigeration.com.au/wp-content/uploads/2025/06/PP1700_SPEC_0525.pdf</t>
        </is>
      </c>
      <c r="O58" s="4" t="inlineStr">
        <is>
          <t>Codex (needs partner review)</t>
        </is>
      </c>
      <c r="P58" s="8" t="n">
        <v>46315</v>
      </c>
      <c r="Q58" s="4" t="inlineStr">
        <is>
          <t>Component-wise medians of 13 filled refrigeration rows (TV-0001, TV-0002, TV-0003, TV-0004, TV-0005, TV-0006, TV-0007, TV-0008, TV-0009, TV-0010, TV-0011, TV-0012, TV-0066): S=162.083 W, L=0 W. Equal weight per typical row; component medians need not describe one appliance. Range S=40.833–776.25, L=0–0 W. Representative source: TV-0012. Broad fallback only; partner review required. Only 24-h net integral storage/cabinet rows; active ice-machine rejection excluded. Not valid for remote/water-cooled heat rejection.</t>
        </is>
      </c>
    </row>
    <row r="59" ht="171" customHeight="1">
      <c r="A59" s="4" t="inlineStr">
        <is>
          <t>TV-0056</t>
        </is>
      </c>
      <c r="B59" s="4" t="inlineStr">
        <is>
          <t>Any dishwasher</t>
        </is>
      </c>
      <c r="C59" s="4" t="inlineStr">
        <is>
          <t>Generic</t>
        </is>
      </c>
      <c r="D59" s="4" t="inlineStr">
        <is>
          <t>Used only when no row above fits</t>
        </is>
      </c>
      <c r="E59" s="4" t="inlineStr"/>
      <c r="F59" s="4" t="inlineStr">
        <is>
          <t>dishwashing</t>
        </is>
      </c>
      <c r="G59" s="7" t="n">
        <v>1400</v>
      </c>
      <c r="H59" s="7" t="n">
        <v>1348.13</v>
      </c>
      <c r="I59" s="7" t="n"/>
      <c r="J59" s="7" t="n"/>
      <c r="K59" s="4" t="inlineStr">
        <is>
          <t>WHILE_OPEN</t>
        </is>
      </c>
      <c r="L59" s="4" t="inlineStr">
        <is>
          <t>In room; generic cannot establish installed heat destination</t>
        </is>
      </c>
      <c r="M59" s="4" t="inlineStr">
        <is>
          <t>TV-0036; TV-0037; TV-0038</t>
        </is>
      </c>
      <c r="N59" s="4" t="inlineStr">
        <is>
          <t>https://www.hobartcorp.com/sites/default/files/webdam-assets/LXeH%20High%20Temp%20Undercounter%20Dishwasher%20Spec%20Sheet%20F40902%20(09-22).pdf</t>
        </is>
      </c>
      <c r="O59" s="4" t="inlineStr">
        <is>
          <t>Codex (needs partner review)</t>
        </is>
      </c>
      <c r="P59" s="8" t="n">
        <v>46315</v>
      </c>
      <c r="Q59" s="4" t="inlineStr">
        <is>
          <t xml:space="preserve">Component-wise medians of 3 filled dishwashing rows (TV-0036, TV-0037, TV-0038): S=1400 W, L=1348.13 W. Equal weight per typical row; component medians need not describe one appliance. Range S=1172.28–1685, L=700–5626 W. Representative source: TV-0037. Broad fallback only; partner review required. </t>
        </is>
      </c>
    </row>
    <row r="60" ht="216" customHeight="1">
      <c r="A60" s="4" t="inlineStr">
        <is>
          <t>TV-0057</t>
        </is>
      </c>
      <c r="B60" s="4" t="inlineStr">
        <is>
          <t>Any hot-drink appliance</t>
        </is>
      </c>
      <c r="C60" s="4" t="inlineStr">
        <is>
          <t>Generic</t>
        </is>
      </c>
      <c r="D60" s="4" t="inlineStr">
        <is>
          <t>Used only when no row above fits</t>
        </is>
      </c>
      <c r="E60" s="4" t="inlineStr"/>
      <c r="F60" s="4" t="inlineStr">
        <is>
          <t>hot_drinks</t>
        </is>
      </c>
      <c r="G60" s="7" t="n">
        <v>152.5</v>
      </c>
      <c r="H60" s="7" t="n">
        <v>0</v>
      </c>
      <c r="I60" s="7" t="n"/>
      <c r="J60" s="7" t="n"/>
      <c r="K60" s="4" t="inlineStr">
        <is>
          <t>WHILE_OPEN</t>
        </is>
      </c>
      <c r="L60" s="4" t="inlineStr">
        <is>
          <t>In room; generic cannot establish installed heat destination</t>
        </is>
      </c>
      <c r="M60" s="4" t="inlineStr">
        <is>
          <t>TV-0041; TV-0065</t>
        </is>
      </c>
      <c r="N60" s="4" t="inlineStr">
        <is>
          <t>https://handbook.ashrae.org/Handbooks/F17/SI/f17_ch18/f17_ch18_si.aspx</t>
        </is>
      </c>
      <c r="O60" s="4" t="inlineStr">
        <is>
          <t>Codex (needs partner review)</t>
        </is>
      </c>
      <c r="P60" s="8" t="n">
        <v>46315</v>
      </c>
      <c r="Q60" s="4" t="inlineStr">
        <is>
          <t>Component-wise medians of 2 filled hot_drinks rows (TV-0041, TV-0065): S=152.5 W, L=0 W. Equal weight per typical row; component medians need not describe one appliance. Range S=73–232, L=0–0 W. Representative source: TV-0041. Broad fallback only; partner review required. Only small grinder and cold cooler evidenced; NOT validated for steam-producing espresso/boiling appliances.</t>
        </is>
      </c>
    </row>
    <row r="61" ht="186" customHeight="1">
      <c r="A61" s="4" t="inlineStr">
        <is>
          <t>TV-0058</t>
        </is>
      </c>
      <c r="B61" s="4" t="inlineStr">
        <is>
          <t>Any electronic device</t>
        </is>
      </c>
      <c r="C61" s="4" t="inlineStr">
        <is>
          <t>Generic</t>
        </is>
      </c>
      <c r="D61" s="4" t="inlineStr">
        <is>
          <t>Used only when no row above fits</t>
        </is>
      </c>
      <c r="E61" s="4" t="inlineStr"/>
      <c r="F61" s="4" t="inlineStr">
        <is>
          <t>electronics</t>
        </is>
      </c>
      <c r="G61" s="7" t="n">
        <v>73</v>
      </c>
      <c r="H61" s="7" t="n">
        <v>0</v>
      </c>
      <c r="I61" s="7" t="n"/>
      <c r="J61" s="7" t="n"/>
      <c r="K61" s="4" t="inlineStr">
        <is>
          <t>WHILE_OPEN</t>
        </is>
      </c>
      <c r="L61" s="4" t="inlineStr">
        <is>
          <t>In room; generic cannot establish installed heat destination</t>
        </is>
      </c>
      <c r="M61" s="4" t="inlineStr">
        <is>
          <t>TV-0047; TV-0048; TV-0049; TV-0050; TV-0051; TV-0053</t>
        </is>
      </c>
      <c r="N61" s="4" t="inlineStr">
        <is>
          <t>https://handbook.ashrae.org/Handbooks/F17/SI/f17_ch18/f17_ch18_si.aspx</t>
        </is>
      </c>
      <c r="O61" s="4" t="inlineStr">
        <is>
          <t>Codex (needs partner review)</t>
        </is>
      </c>
      <c r="P61" s="8" t="n">
        <v>46315</v>
      </c>
      <c r="Q61" s="4" t="inlineStr">
        <is>
          <t xml:space="preserve">Component-wise medians of 6 filled electronics rows (TV-0047, TV-0048, TV-0049, TV-0050, TV-0051, TV-0053): S=73 W, L=0 W. Equal weight per typical row; component medians need not describe one appliance. Range S=22–160.017, L=0–0 W. Representative source: TV-0048. Broad fallback only; partner review required. </t>
        </is>
      </c>
    </row>
    <row r="62" ht="156" customHeight="1">
      <c r="A62" s="4" t="inlineStr">
        <is>
          <t>TV-0059</t>
        </is>
      </c>
      <c r="B62" s="4" t="inlineStr">
        <is>
          <t>Any sign</t>
        </is>
      </c>
      <c r="C62" s="4" t="inlineStr">
        <is>
          <t>Generic</t>
        </is>
      </c>
      <c r="D62" s="4" t="inlineStr">
        <is>
          <t>Used only when no row above fits</t>
        </is>
      </c>
      <c r="E62" s="4" t="inlineStr"/>
      <c r="F62" s="4" t="inlineStr">
        <is>
          <t>signage</t>
        </is>
      </c>
      <c r="G62" s="7" t="n"/>
      <c r="H62" s="7" t="n"/>
      <c r="I62" s="7" t="n"/>
      <c r="J62" s="7" t="n"/>
      <c r="K62" s="4" t="inlineStr">
        <is>
          <t>WHILE_OPEN</t>
        </is>
      </c>
      <c r="L62" s="4" t="inlineStr">
        <is>
          <t>Project evidence required: room / exhaust / remote heat destination</t>
        </is>
      </c>
      <c r="M62" s="4" t="n"/>
      <c r="N62" s="4" t="inlineStr">
        <is>
          <t>https://handbook.ashrae.org/Handbooks/F17/SI/f17_ch18/f17_ch18_si.aspx</t>
        </is>
      </c>
      <c r="O62" s="4" t="inlineStr">
        <is>
          <t>Codex (needs partner review)</t>
        </is>
      </c>
      <c r="P62" s="8" t="n">
        <v>46315</v>
      </c>
      <c r="Q62" s="4" t="inlineStr">
        <is>
          <t>Further research required if this item is used in the project. No filled normal-operation sign row exists, so a source-backed generic median cannot be calculated. TV-0052 needs sign size/technology/actual heat. Not replaced with a made-up per-sign wattage.</t>
        </is>
      </c>
    </row>
    <row r="63" ht="201" customHeight="1">
      <c r="A63" s="4" t="inlineStr">
        <is>
          <t>TV-0060</t>
        </is>
      </c>
      <c r="B63" s="4" t="inlineStr">
        <is>
          <t>Any other appliance</t>
        </is>
      </c>
      <c r="C63" s="4" t="inlineStr">
        <is>
          <t>Generic</t>
        </is>
      </c>
      <c r="D63" s="4" t="inlineStr">
        <is>
          <t>Used only when no row above fits</t>
        </is>
      </c>
      <c r="E63" s="4" t="inlineStr"/>
      <c r="F63" s="4" t="inlineStr">
        <is>
          <t>other</t>
        </is>
      </c>
      <c r="G63" s="7" t="n">
        <v>480</v>
      </c>
      <c r="H63" s="7" t="n">
        <v>0</v>
      </c>
      <c r="I63" s="7" t="n"/>
      <c r="J63" s="7" t="n"/>
      <c r="K63" s="4" t="inlineStr">
        <is>
          <t>WHILE_OPEN</t>
        </is>
      </c>
      <c r="L63" s="4" t="inlineStr">
        <is>
          <t>In room; generic cannot establish installed heat destination</t>
        </is>
      </c>
      <c r="M63" s="4" t="inlineStr">
        <is>
          <t>TV-0044</t>
        </is>
      </c>
      <c r="N63" s="4" t="inlineStr">
        <is>
          <t>https://loipart.com/en/product/planetary-mixer-20-l-with-hub-table-type-3810</t>
        </is>
      </c>
      <c r="O63" s="4" t="inlineStr">
        <is>
          <t>Codex (needs partner review)</t>
        </is>
      </c>
      <c r="P63" s="8" t="n">
        <v>46315</v>
      </c>
      <c r="Q63" s="4" t="inlineStr">
        <is>
          <t>Component-wise medians of 1 filled other rows (TV-0044): S=480 W, L=0 W. Equal weight per typical row; component medians need not describe one appliance. Range S=480–480, L=0–0 W. Representative source: TV-0044. Broad fallback only; partner review required. Only one dry 20 L mixer is evidenced; especially weak for arbitrary other appliances.</t>
        </is>
      </c>
    </row>
    <row r="64" ht="171" customHeight="1">
      <c r="A64" s="4" t="inlineStr">
        <is>
          <t>TV-0061</t>
        </is>
      </c>
      <c r="B64" s="4" t="inlineStr">
        <is>
          <t>Pizza deck oven</t>
        </is>
      </c>
      <c r="C64" s="4" t="inlineStr">
        <is>
          <t>Any</t>
        </is>
      </c>
      <c r="D64" s="4" t="inlineStr">
        <is>
          <t>Confirm number of decks, fuel, dimensions, duty and exhaust.</t>
        </is>
      </c>
      <c r="E64" s="4" t="inlineStr">
        <is>
          <t>pizza deck oven;pizza oven;pizza ovens;deck oven;deck ovens</t>
        </is>
      </c>
      <c r="F64" s="4" t="n"/>
      <c r="G64" s="7" t="n"/>
      <c r="H64" s="7" t="n"/>
      <c r="I64" s="7" t="n"/>
      <c r="J64" s="7" t="n"/>
      <c r="K64" s="4" t="inlineStr">
        <is>
          <t>WHILE_OPEN</t>
        </is>
      </c>
      <c r="L64" s="4" t="inlineStr">
        <is>
          <t>Project evidence required: room / exhaust / remote heat destination</t>
        </is>
      </c>
      <c r="M64" s="4" t="n"/>
      <c r="N64" s="4" t="inlineStr">
        <is>
          <t>https://www.pizzamaster-uk.co.uk/storage/app/uploads/public/696/f4c/59e/696f4c59e0b43608889365.pdf</t>
        </is>
      </c>
      <c r="O64" s="4" t="inlineStr">
        <is>
          <t>Codex (needs partner review)</t>
        </is>
      </c>
      <c r="P64" s="8" t="n">
        <v>46315</v>
      </c>
      <c r="Q64" s="4" t="inlineStr">
        <is>
          <t>Further research required if this item is used in the project. PizzaMaster PM83X sheet p4 publishes normal-operation sensible/latent emissions, but external-hood radiant residual is unspecified and 1–5 decks vary fivefold. No transferable complete free-standing/hooded pair for this unsized type.</t>
        </is>
      </c>
    </row>
    <row r="65" ht="156" customHeight="1">
      <c r="A65" s="4" t="inlineStr">
        <is>
          <t>TV-0062</t>
        </is>
      </c>
      <c r="B65" s="4" t="inlineStr">
        <is>
          <t>Heat lamp / food warmer lamp</t>
        </is>
      </c>
      <c r="C65" s="4" t="inlineStr">
        <is>
          <t>Per lamp</t>
        </is>
      </c>
      <c r="D65" s="4" t="inlineStr">
        <is>
          <t>Confirm bulb count, radiant output and retention within room.</t>
        </is>
      </c>
      <c r="E65" s="4" t="inlineStr">
        <is>
          <t>heat lamp;heat lamps;food warmer lamp;food warmer lamps;warming lamp</t>
        </is>
      </c>
      <c r="F65" s="4" t="n"/>
      <c r="G65" s="7" t="n"/>
      <c r="H65" s="7" t="n"/>
      <c r="I65" s="7" t="n"/>
      <c r="J65" s="7" t="n"/>
      <c r="K65" s="4" t="inlineStr">
        <is>
          <t>WHILE_OPEN</t>
        </is>
      </c>
      <c r="L65" s="4" t="inlineStr">
        <is>
          <t>Project evidence required: room / exhaust / remote heat destination</t>
        </is>
      </c>
      <c r="M65" s="4" t="n"/>
      <c r="N65" s="4" t="inlineStr">
        <is>
          <t>https://handbook.ashrae.org/Handbooks/F17/SI/f17_ch18/f17_ch18_si.aspx</t>
        </is>
      </c>
      <c r="O65" s="4" t="inlineStr">
        <is>
          <t>Codex (needs partner review)</t>
        </is>
      </c>
      <c r="P65" s="8" t="n">
        <v>46315</v>
      </c>
      <c r="Q65" s="4" t="inlineStr">
        <is>
          <t>Further research required if this item is used in the project. No sourced normal-service room heat and effective-hood split per lamp found. Rated lamp W is not accepted as measured room heat. Confirm heat output, bulb count and whether lighting already includes it.</t>
        </is>
      </c>
    </row>
    <row r="66" ht="171" customHeight="1">
      <c r="A66" s="4" t="inlineStr">
        <is>
          <t>TV-0063</t>
        </is>
      </c>
      <c r="B66" s="4" t="inlineStr">
        <is>
          <t>Hot water unit</t>
        </is>
      </c>
      <c r="C66" s="4" t="inlineStr">
        <is>
          <t>Under-sink / wall-mounted boiling water</t>
        </is>
      </c>
      <c r="D66" s="4" t="inlineStr">
        <is>
          <t>Distinguish boiling-only, stored hot water and boiling/chilled; find model.</t>
        </is>
      </c>
      <c r="E66" s="4" t="inlineStr">
        <is>
          <t>HWU;hot water unit;hot water units;boiling water unit;under sink boiler;wall mounted boiler;Zip</t>
        </is>
      </c>
      <c r="F66" s="4" t="n"/>
      <c r="G66" s="7" t="n"/>
      <c r="H66" s="7" t="n"/>
      <c r="I66" s="7" t="n"/>
      <c r="J66" s="7" t="n"/>
      <c r="K66" s="4" t="inlineStr">
        <is>
          <t>WHILE_OPEN</t>
        </is>
      </c>
      <c r="L66" s="4" t="inlineStr">
        <is>
          <t>Project evidence required: room / exhaust / remote heat destination</t>
        </is>
      </c>
      <c r="M66" s="4" t="n"/>
      <c r="N66" s="4" t="inlineStr">
        <is>
          <t>https://us.zipwater.com/wp-content/uploads/2021/07/802265US-v1.27-06.21-BCS-BCS100-75-Install-Instructions.pdf</t>
        </is>
      </c>
      <c r="O66" s="4" t="inlineStr">
        <is>
          <t>Codex (needs partner review)</t>
        </is>
      </c>
      <c r="P66" s="8" t="n">
        <v>46315</v>
      </c>
      <c r="Q66" s="4" t="inlineStr">
        <is>
          <t>Further research required if this item is used in the project. Zip installation ventilation instructions do not quantify room sensible/latent gain for boiling-only units. Heat exported in drawn water, vented steam, storage loss and cabinet heat must be separated. Do not use element kW.</t>
        </is>
      </c>
    </row>
    <row r="67" ht="171" customHeight="1">
      <c r="A67" s="4" t="inlineStr">
        <is>
          <t>TV-0064</t>
        </is>
      </c>
      <c r="B67" s="4" t="inlineStr">
        <is>
          <t>Hot food station</t>
        </is>
      </c>
      <c r="C67" s="4" t="inlineStr">
        <is>
          <t>Any</t>
        </is>
      </c>
      <c r="D67" s="4" t="inlineStr">
        <is>
          <t>Find wells, wet/dry holding, dimensions and hood.</t>
        </is>
      </c>
      <c r="E67" s="4" t="inlineStr">
        <is>
          <t>hot food station;hot food stations;hot food display;heated food station</t>
        </is>
      </c>
      <c r="F67" s="4" t="n"/>
      <c r="G67" s="7" t="n"/>
      <c r="H67" s="7" t="n"/>
      <c r="I67" s="7" t="n"/>
      <c r="J67" s="7" t="n"/>
      <c r="K67" s="4" t="inlineStr">
        <is>
          <t>WHILE_OPEN</t>
        </is>
      </c>
      <c r="L67" s="4" t="inlineStr">
        <is>
          <t>Project evidence required: room / exhaust / remote heat destination</t>
        </is>
      </c>
      <c r="M67" s="4" t="n"/>
      <c r="N67" s="4" t="inlineStr">
        <is>
          <t>https://handbook.ashrae.org/Handbooks/F17/SI/f17_ch18/f17_ch18_si.aspx</t>
        </is>
      </c>
      <c r="O67" s="4" t="inlineStr">
        <is>
          <t>Codex (needs partner review)</t>
        </is>
      </c>
      <c r="P67" s="8" t="n">
        <v>46315</v>
      </c>
      <c r="Q67" s="4" t="inlineStr">
        <is>
          <t>Further research required if this item is used in the project. Steam-table and holding-cabinet references are different arrangements; unknown station size, wet/dry state and food throughput prevent a defensible unique value. Use the specified bain-marie/cabinet type when established.</t>
        </is>
      </c>
    </row>
    <row r="68" ht="201" customHeight="1">
      <c r="A68" s="4" t="inlineStr">
        <is>
          <t>TV-0065</t>
        </is>
      </c>
      <c r="B68" s="4" t="inlineStr">
        <is>
          <t>Water dispenser</t>
        </is>
      </c>
      <c r="C68" s="4" t="inlineStr">
        <is>
          <t>Cold bottled water</t>
        </is>
      </c>
      <c r="D68" s="4" t="inlineStr">
        <is>
          <t>Sealed cold-water dispenser; exclude hot/boiling and ice dispensing.</t>
        </is>
      </c>
      <c r="E68" s="4" t="inlineStr">
        <is>
          <t>water dispenser;water dispensers;water cooler;water coolers;bottled water cooler</t>
        </is>
      </c>
      <c r="F68" s="4" t="n"/>
      <c r="G68" s="7" t="n">
        <v>232</v>
      </c>
      <c r="H68" s="7" t="n">
        <v>0</v>
      </c>
      <c r="I68" s="7" t="n"/>
      <c r="J68" s="7" t="n"/>
      <c r="K68" s="4" t="inlineStr">
        <is>
          <t>WHILE_OPEN</t>
        </is>
      </c>
      <c r="L68" s="4" t="inlineStr">
        <is>
          <t>Integral air-cooled cold-water cooler in room; no steam</t>
        </is>
      </c>
      <c r="M68" s="4" t="n"/>
      <c r="N68" s="4" t="inlineStr">
        <is>
          <t>https://handbook.ashrae.org/Handbooks/F17/SI/f17_ch18/f17_ch18_si.aspx</t>
        </is>
      </c>
      <c r="O68" s="4" t="inlineStr">
        <is>
          <t>Codex (needs partner review)</t>
        </is>
      </c>
      <c r="P68" s="8" t="n">
        <v>46315</v>
      </c>
      <c r="Q68" s="4" t="inlineStr">
        <is>
          <t>ASHRAE 2017 ch18 Table 10 top-mounted bottled water cooler: measured peak heat range 114–350 W; midpoint 232 W. Cold-only sealed compressor appliance, latent 0 assumes no steam or open water evaporation. Not a daily average: WHILE_OPEN. Does not cover boiling/chilled systems or ice dispensers. Underlying model identities not published; partner review needed.</t>
        </is>
      </c>
    </row>
    <row r="69" ht="291" customHeight="1">
      <c r="A69" s="4" t="inlineStr">
        <is>
          <t>TV-0066</t>
        </is>
      </c>
      <c r="B69" s="4" t="inlineStr">
        <is>
          <t>Drinks fridge</t>
        </is>
      </c>
      <c r="C69" s="4" t="inlineStr">
        <is>
          <t>Multi-door</t>
        </is>
      </c>
      <c r="D69" s="4" t="inlineStr">
        <is>
          <t>Two or more glass doors; integral same-room condenser.</t>
        </is>
      </c>
      <c r="E69" s="4" t="inlineStr">
        <is>
          <t>drinks fridge;drinks fridges;beverage fridge;bar fridge 2 door;2DR drinks fridge;multi door fridge</t>
        </is>
      </c>
      <c r="F69" s="4" t="n"/>
      <c r="G69" s="7" t="n">
        <v>285.833</v>
      </c>
      <c r="H69" s="7" t="n">
        <v>0</v>
      </c>
      <c r="I69" s="7" t="n"/>
      <c r="J69" s="7" t="n"/>
      <c r="K69" s="4" t="inlineStr">
        <is>
          <t>CONTINUOUS</t>
        </is>
      </c>
      <c r="L69" s="4" t="inlineStr">
        <is>
          <t>Integral air-cooled refrigeration in this room; net 24-h heat</t>
        </is>
      </c>
      <c r="M69" s="4" t="n"/>
      <c r="N69" s="4" t="inlineStr">
        <is>
          <t>https://www.bromicrefrigeration.com.au/wp-content/uploads/2023/08/GM1000LWCAS_SPEC_0723.pdf</t>
        </is>
      </c>
      <c r="O69" s="4" t="inlineStr">
        <is>
          <t>Codex (needs partner review)</t>
        </is>
      </c>
      <c r="P69" s="8" t="n">
        <v>46315</v>
      </c>
      <c r="Q69" s="4" t="inlineStr">
        <is>
          <t>Bromic GM1000LWCAS (960 L, 2 glass doors); manufacturer's Specifications, Energy Consumption (kWh/24h): 6.86. Median of 1 example(s): 285.83–285.83 W; kWh/day ×1000/24. Net room heat equals average electrical consumption for integral same-room refrigeration; NOT condenser gross rejection, cooling capacity or nameplate input. Latent 0: no uncaptured evaporative source. 24-h average, not a compressor peak. Single-product analogue; band not independently validated. Two-door analogue only; 3+-door models may exceed it.</t>
        </is>
      </c>
    </row>
    <row r="70" ht="156" customHeight="1">
      <c r="A70" s="4" t="inlineStr">
        <is>
          <t>TV-0067</t>
        </is>
      </c>
      <c r="B70" s="4" t="inlineStr">
        <is>
          <t>Outdoor heater</t>
        </is>
      </c>
      <c r="C70" s="4" t="inlineStr">
        <is>
          <t>Outdoors — excluded</t>
        </is>
      </c>
      <c r="D70" s="4" t="inlineStr">
        <is>
          <t>Outdoor location must be established from the project.</t>
        </is>
      </c>
      <c r="E70" s="4" t="inlineStr">
        <is>
          <t>outdoor heater;outdoor heaters;patio heater;patio heaters</t>
        </is>
      </c>
      <c r="F70" s="4" t="n"/>
      <c r="G70" s="7" t="n"/>
      <c r="H70" s="7" t="n"/>
      <c r="I70" s="7" t="n"/>
      <c r="J70" s="7" t="n"/>
      <c r="K70" s="4" t="inlineStr">
        <is>
          <t>WHILE_OPEN</t>
        </is>
      </c>
      <c r="L70" s="4" t="inlineStr">
        <is>
          <t>Outdoors — exclude from indoor room equipment gains</t>
        </is>
      </c>
      <c r="M70" s="4" t="n"/>
      <c r="N70" s="4" t="inlineStr">
        <is>
          <t>https://handbook.ashrae.org/Handbooks/F17/SI/f17_ch18/f17_ch18_si.aspx</t>
        </is>
      </c>
      <c r="O70" s="4" t="inlineStr">
        <is>
          <t>Codex (needs partner review)</t>
        </is>
      </c>
      <c r="P70" s="8" t="n">
        <v>46315</v>
      </c>
      <c r="Q70" s="4" t="inlineStr">
        <is>
          <t>Further research required if this item is used in the project. EXCLUDED when located outdoors: not an indoor equipment gain. No zero entered. Location/scope exclusion must be applied in the job; this workbook cannot enforce exclusion. An indoor heater requires separate evidence.</t>
        </is>
      </c>
    </row>
  </sheetData>
  <dataValidations count="2">
    <dataValidation sqref="K4:K500" showDropDown="0" showInputMessage="0" showErrorMessage="0" allowBlank="0" type="list">
      <formula1>"CONTINUOUS,WHILE_OPEN"</formula1>
    </dataValidation>
    <dataValidation sqref="F4:F500" showDropDown="0" showInputMessage="0" showErrorMessage="0" allowBlank="1" type="list">
      <formula1>"cooking,refrigeration,dishwashing,hot_drinks,electronics,signage,other"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4" customWidth="1" min="4" max="4"/>
    <col width="90" customWidth="1" min="5" max="5"/>
  </cols>
  <sheetData>
    <row r="1">
      <c r="A1" t="inlineStr">
        <is>
          <t>How each item's heat is spread over the day. Every Typical value row names one of these patterns.</t>
        </is>
      </c>
    </row>
    <row r="3">
      <c r="A3" s="1" t="inlineStr">
        <is>
          <t>Pattern ID</t>
        </is>
      </c>
      <c r="B3" s="1" t="inlineStr">
        <is>
          <t>Description</t>
        </is>
      </c>
      <c r="C3" s="1" t="inlineStr">
        <is>
          <t>Basis</t>
        </is>
      </c>
      <c r="D3" s="1" t="inlineStr">
        <is>
          <t>Fraction of the per-unit heat (blank = the room type's equipment diversity)</t>
        </is>
      </c>
      <c r="E3" s="1" t="inlineStr">
        <is>
          <t>Notes</t>
        </is>
      </c>
    </row>
    <row r="4">
      <c r="A4" t="inlineStr">
        <is>
          <t>CONTINUOUS</t>
        </is>
      </c>
      <c r="B4" t="inlineStr">
        <is>
          <t>On around the clock</t>
        </is>
      </c>
      <c r="C4" t="inlineStr">
        <is>
          <t>CONTINUOUS</t>
        </is>
      </c>
      <c r="D4" t="n">
        <v>1</v>
      </c>
      <c r="E4" t="inlineStr">
        <is>
          <t>Self-contained refrigeration. Use only when the per-unit figure is already averaged over compressor cycling; check the source says so.</t>
        </is>
      </c>
    </row>
    <row r="5">
      <c r="A5" t="inlineStr">
        <is>
          <t>WHILE_OPEN</t>
        </is>
      </c>
      <c r="B5" t="inlineStr">
        <is>
          <t>On while the room is open</t>
        </is>
      </c>
      <c r="C5" t="inlineStr">
        <is>
          <t>ROOM_HOURS</t>
        </is>
      </c>
      <c r="E5" t="inlineStr">
        <is>
          <t>Follows the room's opening hours. Blank fraction uses the room type's equipment diversity from the preliminary pack.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2026-10-20T05:34:03Z</dcterms:created>
  <dcterms:modified xsi:type="dcterms:W3CDTF">2026-10-20T06:58:59Z</dcterms:modified>
</cp:coreProperties>
</file>